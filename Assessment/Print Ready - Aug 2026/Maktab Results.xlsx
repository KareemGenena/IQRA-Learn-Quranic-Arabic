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Read Me" state="visible" r:id="rId5"/>
  </sheets>
  <calcPr calcId="171027"/>
</workbook>
</file>

<file path=xl/sharedStrings.xml><?xml version="1.0" encoding="utf-8"?>
<sst xmlns="http://schemas.openxmlformats.org/spreadsheetml/2006/main" count="125" uniqueCount="101">
  <si>
    <t>ID</t>
  </si>
  <si>
    <t>Name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</si>
  <si>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</si>
  <si>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</si>
  <si>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</si>
  <si>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</si>
  <si>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</si>
  <si>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</si>
  <si>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</si>
  <si>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</si>
  <si>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</si>
  <si>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</si>
  <si>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</si>
  <si>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</si>
  <si>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</si>
  <si>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</si>
  <si>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</si>
  <si>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</si>
  <si>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</si>
  <si>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</si>
  <si>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</si>
  <si>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</si>
  <si>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</si>
  <si>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</si>
  <si>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</si>
  <si>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</si>
  <si>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</si>
  <si>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</si>
  <si>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</si>
  <si>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C1</t>
  </si>
  <si>
    <t>C2</t>
  </si>
  <si>
    <t>C3</t>
  </si>
  <si>
    <t>C4</t>
  </si>
  <si>
    <t>C5</t>
  </si>
  <si>
    <t>A score /14</t>
  </si>
  <si>
    <t>B score /26</t>
  </si>
  <si>
    <t>C score /5</t>
  </si>
  <si>
    <t>Teacher level</t>
  </si>
  <si>
    <t>Level</t>
  </si>
  <si>
    <t>Check</t>
  </si>
  <si>
    <t>Teacher override</t>
  </si>
  <si>
    <t>FINAL LEVEL</t>
  </si>
  <si>
    <t>Notes</t>
  </si>
  <si>
    <t>KEY</t>
  </si>
  <si>
    <t>answer key — do not edit</t>
  </si>
  <si>
    <t/>
  </si>
  <si>
    <t>a</t>
  </si>
  <si>
    <t>b</t>
  </si>
  <si>
    <t>c</t>
  </si>
  <si>
    <t>EXAMPLE</t>
  </si>
  <si>
    <t>delete my entries before the session</t>
  </si>
  <si>
    <t>d</t>
  </si>
  <si>
    <t>M-01</t>
  </si>
  <si>
    <t>M-02</t>
  </si>
  <si>
    <t>M-03</t>
  </si>
  <si>
    <t>M-04</t>
  </si>
  <si>
    <t>M-05</t>
  </si>
  <si>
    <t>M-06</t>
  </si>
  <si>
    <t>M-07</t>
  </si>
  <si>
    <t>M-08</t>
  </si>
  <si>
    <t>M-09</t>
  </si>
  <si>
    <t>M-10</t>
  </si>
  <si>
    <t>M-11</t>
  </si>
  <si>
    <t>M-12</t>
  </si>
  <si>
    <t>M-13</t>
  </si>
  <si>
    <t>M-14</t>
  </si>
  <si>
    <t>M-15</t>
  </si>
  <si>
    <t>M-16</t>
  </si>
  <si>
    <t>M-17</t>
  </si>
  <si>
    <t>M-18</t>
  </si>
  <si>
    <t>M-19</t>
  </si>
  <si>
    <t>M-20</t>
  </si>
  <si>
    <t>M-21</t>
  </si>
  <si>
    <t>M-22</t>
  </si>
  <si>
    <t>M-23</t>
  </si>
  <si>
    <t>M-24</t>
  </si>
  <si>
    <t>M-25</t>
  </si>
  <si>
    <t>M-26</t>
  </si>
  <si>
    <t>M-27</t>
  </si>
  <si>
    <t>M-28</t>
  </si>
  <si>
    <t>M-29</t>
  </si>
  <si>
    <t>M-30</t>
  </si>
  <si>
    <t>M-31</t>
  </si>
  <si>
    <t>M-32</t>
  </si>
  <si>
    <t>M-33</t>
  </si>
  <si>
    <t>Maktab placement — results workbook (v1.0, Aug 2026) — 33 students</t>
  </si>
  <si>
    <t>WHAT YOU TYPE (blue cells): A1–A14 the number the student wrote (1–7); B1–B13 the teacher’s 0/1/2; C1–C5 the circled letter (a–d, lowercase); Teacher level — the 1/2/3 from the last column of the teacher’s paper grid, his blind opinion; Teacher override (1–3) only during the end-of-session review.</t>
  </si>
  <si>
    <t>WHAT CALCULATES ITSELF (grey cells): the three scores, Level, Check, and FINAL LEVEL. Never type there.</t>
  </si>
  <si>
    <t>Row 2 is the answer key. The EXAMPLE row shows one filled-in student whose teacher said 3 but whose scores compute 2 — a live REVIEW row. Delete its entries before the session (keep the row; its formulas are live).</t>
  </si>
  <si>
    <t>LEVEL RULE (decided by the programme, Aug 2026):</t>
  </si>
  <si>
    <t xml:space="preserve">  Level 1 — A score below 10 of 14.</t>
  </si>
  <si>
    <t xml:space="preserve">  Level 2 — A ≥ 10 and B score below 18 of 26.</t>
  </si>
  <si>
    <t xml:space="preserve">  Level 3 — A ≥ 10 and B ≥ 18.</t>
  </si>
  <si>
    <t xml:space="preserve">  Part C never changes the level; it informs the teacher’s call on REVIEW rows. FINAL LEVEL = override when present, else Level.</t>
  </si>
  <si>
    <t xml:space="preserve">  The thresholds 10 and 18 are typed inside the Level formula (column AM). To change one, edit that formula on every student row.</t>
  </si>
  <si>
    <t>THE REVIEW (last 10 minutes): Check shows REVIEW wherever the teacher’s blind level disagrees with the computed Level. Show the teacher those rows with their full scores; he decides; type it in Teacher override. Rows without REVIEW are already placed.</t>
  </si>
  <si>
    <t>Keep the agreement rate in mind: if teacher and formula disagree often in the same direction, the 10/18 thresholds need adjusting next time.</t>
  </si>
  <si>
    <t>Level shows blank until that student’s Part A is entered and at least one B item exists (or A already places them in Level 1).</t>
  </si>
  <si>
    <t>A blank answer counts as wrong in A and C, and as 0 in the B total — which is what an unanswered item means here.</t>
  </si>
  <si>
    <t>IMPORT: sheets.google.com → Blank → File → Import → Upload → this file → Replace spreadsheet. Formulas and dropdowns survive the import; Google Sheets recalculates everything itself.</t>
  </si>
  <si>
    <t>Source of scoring rules: Maktab Student Assessment — KG, Aug 15 2026, plus the level rule agreed with the programme lead.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</si>
</sst>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i/>
      <color rgb="FF777777"/>
      <sz val="10"/>
      <name val="Arial"/>
    </font>
    <font>
      <sz val="10"/>
      <name val="Arial"/>
    </font>
    <font>
      <color rgb="FF0000FF"/>
      <sz val="10"/>
      <name val="Arial"/>
    </font>
    <font>
      <b/>
      <color rgb="FF8C3A2B"/>
      <sz val="10"/>
      <name val="Arial"/>
    </font>
    <font>
      <b/>
      <sz val="10"/>
      <name val="Arial"/>
    </font>
    <font>
      <b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6F63"/>
      </patternFill>
    </fill>
    <fill>
      <patternFill patternType="solid">
        <fgColor rgb="FFEFEFEA"/>
      </patternFill>
    </fill>
    <fill>
      <patternFill patternType="solid">
        <fgColor rgb="FFFFF6DE"/>
      </patternFill>
    </fill>
    <fill>
      <patternFill patternType="solid">
        <fgColor rgb="FFF3F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3" fillId="5" borderId="0" xfId="0" applyFont="1" applyFill="1"/>
    <xf numFmtId="0" fontId="4" fillId="4" borderId="0" xfId="0" applyFont="1" applyFill="1"/>
    <xf numFmtId="0" fontId="5" fillId="5" borderId="0" xfId="0" applyFont="1" applyFill="1"/>
    <xf numFmtId="0" fontId="4" fillId="0" borderId="0" xfId="0" applyFont="1"/>
    <xf numFmtId="0" fontId="6" fillId="5" borderId="0" xfId="0" applyFont="1" applyFill="1"/>
    <xf numFmtId="0" fontId="3" fillId="0" borderId="0" xfId="0" applyFont="1"/>
    <xf numFmtId="0" fontId="7" fillId="0" borderId="0" xfId="0" applyFont="1"/>
    <xf numFmtId="0" fontId="7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6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28" customWidth="1"/>
    <col min="3" max="34" width="5.5" customWidth="1"/>
    <col min="35" max="37" width="11" customWidth="1"/>
    <col min="38" max="38" width="12" customWidth="1"/>
    <col min="39" max="39" width="8" customWidth="1"/>
    <col min="40" max="40" width="10" customWidth="1"/>
    <col min="41" max="41" width="15" customWidth="1"/>
    <col min="42" max="42" width="13" customWidth="1"/>
    <col min="43" max="43" width="32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34" x14ac:dyDescent="0.25">
      <c r="A2" s="2" t="s">
        <v>43</v>
      </c>
      <c r="B2" s="2" t="s">
        <v>44</v>
      </c>
      <c r="C2" s="2">
        <v>5</v>
      </c>
      <c r="D2" s="2">
        <v>4</v>
      </c>
      <c r="E2" s="2">
        <v>6</v>
      </c>
      <c r="F2" s="2">
        <v>3</v>
      </c>
      <c r="G2" s="2">
        <v>1</v>
      </c>
      <c r="H2" s="2">
        <v>7</v>
      </c>
      <c r="I2" s="2">
        <v>2</v>
      </c>
      <c r="J2" s="2">
        <v>5</v>
      </c>
      <c r="K2" s="2">
        <v>4</v>
      </c>
      <c r="L2" s="2">
        <v>3</v>
      </c>
      <c r="M2" s="2">
        <v>2</v>
      </c>
      <c r="N2" s="2">
        <v>7</v>
      </c>
      <c r="O2" s="2">
        <v>6</v>
      </c>
      <c r="P2" s="2">
        <v>1</v>
      </c>
      <c r="Q2" s="2" t="s">
        <v>45</v>
      </c>
      <c r="R2" s="2" t="s">
        <v>45</v>
      </c>
      <c r="S2" s="2" t="s">
        <v>45</v>
      </c>
      <c r="T2" s="2" t="s">
        <v>45</v>
      </c>
      <c r="U2" s="2" t="s">
        <v>45</v>
      </c>
      <c r="V2" s="2" t="s">
        <v>45</v>
      </c>
      <c r="W2" s="2" t="s">
        <v>45</v>
      </c>
      <c r="X2" s="2" t="s">
        <v>45</v>
      </c>
      <c r="Y2" s="2" t="s">
        <v>45</v>
      </c>
      <c r="Z2" s="2" t="s">
        <v>45</v>
      </c>
      <c r="AA2" s="2" t="s">
        <v>45</v>
      </c>
      <c r="AB2" s="2" t="s">
        <v>45</v>
      </c>
      <c r="AC2" s="2" t="s">
        <v>45</v>
      </c>
      <c r="AD2" s="2" t="s">
        <v>46</v>
      </c>
      <c r="AE2" s="2" t="s">
        <v>47</v>
      </c>
      <c r="AF2" s="2" t="s">
        <v>47</v>
      </c>
      <c r="AG2" s="2" t="s">
        <v>48</v>
      </c>
      <c r="AH2" s="2" t="s">
        <v>48</v>
      </c>
    </row>
    <row r="3" spans="1:42" x14ac:dyDescent="0.25">
      <c r="A3" s="3" t="s">
        <v>49</v>
      </c>
      <c r="B3" s="3" t="s">
        <v>50</v>
      </c>
      <c r="C3" s="3">
        <v>5</v>
      </c>
      <c r="D3" s="3">
        <v>4</v>
      </c>
      <c r="E3" s="3">
        <v>6</v>
      </c>
      <c r="F3" s="3">
        <v>2</v>
      </c>
      <c r="G3" s="3">
        <v>1</v>
      </c>
      <c r="H3" s="3">
        <v>7</v>
      </c>
      <c r="I3" s="3">
        <v>3</v>
      </c>
      <c r="J3" s="3">
        <v>5</v>
      </c>
      <c r="K3" s="3">
        <v>4</v>
      </c>
      <c r="L3" s="3">
        <v>3</v>
      </c>
      <c r="M3" s="3">
        <v>1</v>
      </c>
      <c r="N3" s="3">
        <v>7</v>
      </c>
      <c r="O3" s="3">
        <v>6</v>
      </c>
      <c r="P3" s="3">
        <v>2</v>
      </c>
      <c r="Q3" s="3">
        <v>2</v>
      </c>
      <c r="R3" s="3">
        <v>2</v>
      </c>
      <c r="S3" s="3">
        <v>1</v>
      </c>
      <c r="T3" s="3">
        <v>2</v>
      </c>
      <c r="U3" s="3">
        <v>1</v>
      </c>
      <c r="V3" s="3">
        <v>1</v>
      </c>
      <c r="W3" s="3">
        <v>1</v>
      </c>
      <c r="X3" s="3">
        <v>1</v>
      </c>
      <c r="Y3" s="3">
        <v>0</v>
      </c>
      <c r="Z3" s="3">
        <v>1</v>
      </c>
      <c r="AA3" s="3">
        <v>0</v>
      </c>
      <c r="AB3" s="3">
        <v>1</v>
      </c>
      <c r="AC3" s="3">
        <v>1</v>
      </c>
      <c r="AD3" s="3" t="s">
        <v>46</v>
      </c>
      <c r="AE3" s="3" t="s">
        <v>48</v>
      </c>
      <c r="AF3" s="3" t="s">
        <v>47</v>
      </c>
      <c r="AG3" s="3" t="s">
        <v>48</v>
      </c>
      <c r="AH3" s="3" t="s">
        <v>51</v>
      </c>
      <c r="AI3" s="4">
        <f>SUMPRODUCT(--(C3:P3=$C$2:$P$2))</f>
      </c>
      <c r="AJ3" s="4">
        <f>SUM(Q3:AC3)</f>
      </c>
      <c r="AK3" s="4">
        <f>SUMPRODUCT(--(AD3:AH3=$AD$2:$AH$2))</f>
      </c>
      <c r="AL3" s="5">
        <v>3</v>
      </c>
      <c r="AM3" s="4">
        <f>IF(COUNT(C3:P3)=0,"",IF(AI3&lt;10,1,IF(COUNT(Q3:AC3)=0,"",IF(AJ3&lt;18,2,3))))</f>
      </c>
      <c r="AN3" s="6">
        <f>IF(OR(AL3="",AM3=""),"",IF(AL3=AM3,"","REVIEW"))</f>
      </c>
      <c r="AO3" s="7"/>
      <c r="AP3" s="8">
        <f>IF(AO3&lt;&gt;"",AO3,AM3)</f>
      </c>
    </row>
    <row r="4" spans="1:42" x14ac:dyDescent="0.25">
      <c r="A4" s="9" t="s">
        <v>52</v>
      </c>
      <c r="B4" s="9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4">
        <f>SUMPRODUCT(--(C4:P4=$C$2:$P$2))</f>
      </c>
      <c r="AJ4" s="4">
        <f>SUM(Q4:AC4)</f>
      </c>
      <c r="AK4" s="4">
        <f>SUMPRODUCT(--(AD4:AH4=$AD$2:$AH$2))</f>
      </c>
      <c r="AL4" s="7"/>
      <c r="AM4" s="4">
        <f>IF(COUNT(C4:P4)=0,"",IF(AI4&lt;10,1,IF(COUNT(Q4:AC4)=0,"",IF(AJ4&lt;18,2,3))))</f>
      </c>
      <c r="AN4" s="6">
        <f>IF(OR(AL4="",AM4=""),"",IF(AL4=AM4,"","REVIEW"))</f>
      </c>
      <c r="AO4" s="7"/>
      <c r="AP4" s="8">
        <f>IF(AO4&lt;&gt;"",AO4,AM4)</f>
      </c>
    </row>
    <row r="5" spans="1:42" x14ac:dyDescent="0.25">
      <c r="A5" s="9" t="s">
        <v>53</v>
      </c>
      <c r="B5" s="9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4">
        <f>SUMPRODUCT(--(C5:P5=$C$2:$P$2))</f>
      </c>
      <c r="AJ5" s="4">
        <f>SUM(Q5:AC5)</f>
      </c>
      <c r="AK5" s="4">
        <f>SUMPRODUCT(--(AD5:AH5=$AD$2:$AH$2))</f>
      </c>
      <c r="AL5" s="7"/>
      <c r="AM5" s="4">
        <f>IF(COUNT(C5:P5)=0,"",IF(AI5&lt;10,1,IF(COUNT(Q5:AC5)=0,"",IF(AJ5&lt;18,2,3))))</f>
      </c>
      <c r="AN5" s="6">
        <f>IF(OR(AL5="",AM5=""),"",IF(AL5=AM5,"","REVIEW"))</f>
      </c>
      <c r="AO5" s="7"/>
      <c r="AP5" s="8">
        <f>IF(AO5&lt;&gt;"",AO5,AM5)</f>
      </c>
    </row>
    <row r="6" spans="1:42" x14ac:dyDescent="0.25">
      <c r="A6" s="9" t="s">
        <v>54</v>
      </c>
      <c r="B6" s="9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4">
        <f>SUMPRODUCT(--(C6:P6=$C$2:$P$2))</f>
      </c>
      <c r="AJ6" s="4">
        <f>SUM(Q6:AC6)</f>
      </c>
      <c r="AK6" s="4">
        <f>SUMPRODUCT(--(AD6:AH6=$AD$2:$AH$2))</f>
      </c>
      <c r="AL6" s="7"/>
      <c r="AM6" s="4">
        <f>IF(COUNT(C6:P6)=0,"",IF(AI6&lt;10,1,IF(COUNT(Q6:AC6)=0,"",IF(AJ6&lt;18,2,3))))</f>
      </c>
      <c r="AN6" s="6">
        <f>IF(OR(AL6="",AM6=""),"",IF(AL6=AM6,"","REVIEW"))</f>
      </c>
      <c r="AO6" s="7"/>
      <c r="AP6" s="8">
        <f>IF(AO6&lt;&gt;"",AO6,AM6)</f>
      </c>
    </row>
    <row r="7" spans="1:42" x14ac:dyDescent="0.25">
      <c r="A7" s="9" t="s">
        <v>55</v>
      </c>
      <c r="B7" s="9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4">
        <f>SUMPRODUCT(--(C7:P7=$C$2:$P$2))</f>
      </c>
      <c r="AJ7" s="4">
        <f>SUM(Q7:AC7)</f>
      </c>
      <c r="AK7" s="4">
        <f>SUMPRODUCT(--(AD7:AH7=$AD$2:$AH$2))</f>
      </c>
      <c r="AL7" s="7"/>
      <c r="AM7" s="4">
        <f>IF(COUNT(C7:P7)=0,"",IF(AI7&lt;10,1,IF(COUNT(Q7:AC7)=0,"",IF(AJ7&lt;18,2,3))))</f>
      </c>
      <c r="AN7" s="6">
        <f>IF(OR(AL7="",AM7=""),"",IF(AL7=AM7,"","REVIEW"))</f>
      </c>
      <c r="AO7" s="7"/>
      <c r="AP7" s="8">
        <f>IF(AO7&lt;&gt;"",AO7,AM7)</f>
      </c>
    </row>
    <row r="8" spans="1:42" x14ac:dyDescent="0.25">
      <c r="A8" s="9" t="s">
        <v>56</v>
      </c>
      <c r="B8" s="9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4">
        <f>SUMPRODUCT(--(C8:P8=$C$2:$P$2))</f>
      </c>
      <c r="AJ8" s="4">
        <f>SUM(Q8:AC8)</f>
      </c>
      <c r="AK8" s="4">
        <f>SUMPRODUCT(--(AD8:AH8=$AD$2:$AH$2))</f>
      </c>
      <c r="AL8" s="7"/>
      <c r="AM8" s="4">
        <f>IF(COUNT(C8:P8)=0,"",IF(AI8&lt;10,1,IF(COUNT(Q8:AC8)=0,"",IF(AJ8&lt;18,2,3))))</f>
      </c>
      <c r="AN8" s="6">
        <f>IF(OR(AL8="",AM8=""),"",IF(AL8=AM8,"","REVIEW"))</f>
      </c>
      <c r="AO8" s="7"/>
      <c r="AP8" s="8">
        <f>IF(AO8&lt;&gt;"",AO8,AM8)</f>
      </c>
    </row>
    <row r="9" spans="1:42" x14ac:dyDescent="0.25">
      <c r="A9" s="9" t="s">
        <v>57</v>
      </c>
      <c r="B9" s="9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4">
        <f>SUMPRODUCT(--(C9:P9=$C$2:$P$2))</f>
      </c>
      <c r="AJ9" s="4">
        <f>SUM(Q9:AC9)</f>
      </c>
      <c r="AK9" s="4">
        <f>SUMPRODUCT(--(AD9:AH9=$AD$2:$AH$2))</f>
      </c>
      <c r="AL9" s="7"/>
      <c r="AM9" s="4">
        <f>IF(COUNT(C9:P9)=0,"",IF(AI9&lt;10,1,IF(COUNT(Q9:AC9)=0,"",IF(AJ9&lt;18,2,3))))</f>
      </c>
      <c r="AN9" s="6">
        <f>IF(OR(AL9="",AM9=""),"",IF(AL9=AM9,"","REVIEW"))</f>
      </c>
      <c r="AO9" s="7"/>
      <c r="AP9" s="8">
        <f>IF(AO9&lt;&gt;"",AO9,AM9)</f>
      </c>
    </row>
    <row r="10" spans="1:42" x14ac:dyDescent="0.25">
      <c r="A10" s="9" t="s">
        <v>58</v>
      </c>
      <c r="B10" s="9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4">
        <f>SUMPRODUCT(--(C10:P10=$C$2:$P$2))</f>
      </c>
      <c r="AJ10" s="4">
        <f>SUM(Q10:AC10)</f>
      </c>
      <c r="AK10" s="4">
        <f>SUMPRODUCT(--(AD10:AH10=$AD$2:$AH$2))</f>
      </c>
      <c r="AL10" s="7"/>
      <c r="AM10" s="4">
        <f>IF(COUNT(C10:P10)=0,"",IF(AI10&lt;10,1,IF(COUNT(Q10:AC10)=0,"",IF(AJ10&lt;18,2,3))))</f>
      </c>
      <c r="AN10" s="6">
        <f>IF(OR(AL10="",AM10=""),"",IF(AL10=AM10,"","REVIEW"))</f>
      </c>
      <c r="AO10" s="7"/>
      <c r="AP10" s="8">
        <f>IF(AO10&lt;&gt;"",AO10,AM10)</f>
      </c>
    </row>
    <row r="11" spans="1:42" x14ac:dyDescent="0.25">
      <c r="A11" s="9" t="s">
        <v>59</v>
      </c>
      <c r="B11" s="9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4">
        <f>SUMPRODUCT(--(C11:P11=$C$2:$P$2))</f>
      </c>
      <c r="AJ11" s="4">
        <f>SUM(Q11:AC11)</f>
      </c>
      <c r="AK11" s="4">
        <f>SUMPRODUCT(--(AD11:AH11=$AD$2:$AH$2))</f>
      </c>
      <c r="AL11" s="7"/>
      <c r="AM11" s="4">
        <f>IF(COUNT(C11:P11)=0,"",IF(AI11&lt;10,1,IF(COUNT(Q11:AC11)=0,"",IF(AJ11&lt;18,2,3))))</f>
      </c>
      <c r="AN11" s="6">
        <f>IF(OR(AL11="",AM11=""),"",IF(AL11=AM11,"","REVIEW"))</f>
      </c>
      <c r="AO11" s="7"/>
      <c r="AP11" s="8">
        <f>IF(AO11&lt;&gt;"",AO11,AM11)</f>
      </c>
    </row>
    <row r="12" spans="1:42" x14ac:dyDescent="0.25">
      <c r="A12" s="9" t="s">
        <v>60</v>
      </c>
      <c r="B12" s="9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4">
        <f>SUMPRODUCT(--(C12:P12=$C$2:$P$2))</f>
      </c>
      <c r="AJ12" s="4">
        <f>SUM(Q12:AC12)</f>
      </c>
      <c r="AK12" s="4">
        <f>SUMPRODUCT(--(AD12:AH12=$AD$2:$AH$2))</f>
      </c>
      <c r="AL12" s="7"/>
      <c r="AM12" s="4">
        <f>IF(COUNT(C12:P12)=0,"",IF(AI12&lt;10,1,IF(COUNT(Q12:AC12)=0,"",IF(AJ12&lt;18,2,3))))</f>
      </c>
      <c r="AN12" s="6">
        <f>IF(OR(AL12="",AM12=""),"",IF(AL12=AM12,"","REVIEW"))</f>
      </c>
      <c r="AO12" s="7"/>
      <c r="AP12" s="8">
        <f>IF(AO12&lt;&gt;"",AO12,AM12)</f>
      </c>
    </row>
    <row r="13" spans="1:42" x14ac:dyDescent="0.25">
      <c r="A13" s="9" t="s">
        <v>61</v>
      </c>
      <c r="B13" s="9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4">
        <f>SUMPRODUCT(--(C13:P13=$C$2:$P$2))</f>
      </c>
      <c r="AJ13" s="4">
        <f>SUM(Q13:AC13)</f>
      </c>
      <c r="AK13" s="4">
        <f>SUMPRODUCT(--(AD13:AH13=$AD$2:$AH$2))</f>
      </c>
      <c r="AL13" s="7"/>
      <c r="AM13" s="4">
        <f>IF(COUNT(C13:P13)=0,"",IF(AI13&lt;10,1,IF(COUNT(Q13:AC13)=0,"",IF(AJ13&lt;18,2,3))))</f>
      </c>
      <c r="AN13" s="6">
        <f>IF(OR(AL13="",AM13=""),"",IF(AL13=AM13,"","REVIEW"))</f>
      </c>
      <c r="AO13" s="7"/>
      <c r="AP13" s="8">
        <f>IF(AO13&lt;&gt;"",AO13,AM13)</f>
      </c>
    </row>
    <row r="14" spans="1:42" x14ac:dyDescent="0.25">
      <c r="A14" s="9" t="s">
        <v>62</v>
      </c>
      <c r="B14" s="9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4">
        <f>SUMPRODUCT(--(C14:P14=$C$2:$P$2))</f>
      </c>
      <c r="AJ14" s="4">
        <f>SUM(Q14:AC14)</f>
      </c>
      <c r="AK14" s="4">
        <f>SUMPRODUCT(--(AD14:AH14=$AD$2:$AH$2))</f>
      </c>
      <c r="AL14" s="7"/>
      <c r="AM14" s="4">
        <f>IF(COUNT(C14:P14)=0,"",IF(AI14&lt;10,1,IF(COUNT(Q14:AC14)=0,"",IF(AJ14&lt;18,2,3))))</f>
      </c>
      <c r="AN14" s="6">
        <f>IF(OR(AL14="",AM14=""),"",IF(AL14=AM14,"","REVIEW"))</f>
      </c>
      <c r="AO14" s="7"/>
      <c r="AP14" s="8">
        <f>IF(AO14&lt;&gt;"",AO14,AM14)</f>
      </c>
    </row>
    <row r="15" spans="1:42" x14ac:dyDescent="0.25">
      <c r="A15" s="9" t="s">
        <v>63</v>
      </c>
      <c r="B15" s="9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4">
        <f>SUMPRODUCT(--(C15:P15=$C$2:$P$2))</f>
      </c>
      <c r="AJ15" s="4">
        <f>SUM(Q15:AC15)</f>
      </c>
      <c r="AK15" s="4">
        <f>SUMPRODUCT(--(AD15:AH15=$AD$2:$AH$2))</f>
      </c>
      <c r="AL15" s="7"/>
      <c r="AM15" s="4">
        <f>IF(COUNT(C15:P15)=0,"",IF(AI15&lt;10,1,IF(COUNT(Q15:AC15)=0,"",IF(AJ15&lt;18,2,3))))</f>
      </c>
      <c r="AN15" s="6">
        <f>IF(OR(AL15="",AM15=""),"",IF(AL15=AM15,"","REVIEW"))</f>
      </c>
      <c r="AO15" s="7"/>
      <c r="AP15" s="8">
        <f>IF(AO15&lt;&gt;"",AO15,AM15)</f>
      </c>
    </row>
    <row r="16" spans="1:42" x14ac:dyDescent="0.25">
      <c r="A16" s="9" t="s">
        <v>64</v>
      </c>
      <c r="B16" s="9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4">
        <f>SUMPRODUCT(--(C16:P16=$C$2:$P$2))</f>
      </c>
      <c r="AJ16" s="4">
        <f>SUM(Q16:AC16)</f>
      </c>
      <c r="AK16" s="4">
        <f>SUMPRODUCT(--(AD16:AH16=$AD$2:$AH$2))</f>
      </c>
      <c r="AL16" s="7"/>
      <c r="AM16" s="4">
        <f>IF(COUNT(C16:P16)=0,"",IF(AI16&lt;10,1,IF(COUNT(Q16:AC16)=0,"",IF(AJ16&lt;18,2,3))))</f>
      </c>
      <c r="AN16" s="6">
        <f>IF(OR(AL16="",AM16=""),"",IF(AL16=AM16,"","REVIEW"))</f>
      </c>
      <c r="AO16" s="7"/>
      <c r="AP16" s="8">
        <f>IF(AO16&lt;&gt;"",AO16,AM16)</f>
      </c>
    </row>
    <row r="17" spans="1:42" x14ac:dyDescent="0.25">
      <c r="A17" s="9" t="s">
        <v>65</v>
      </c>
      <c r="B17" s="9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4">
        <f>SUMPRODUCT(--(C17:P17=$C$2:$P$2))</f>
      </c>
      <c r="AJ17" s="4">
        <f>SUM(Q17:AC17)</f>
      </c>
      <c r="AK17" s="4">
        <f>SUMPRODUCT(--(AD17:AH17=$AD$2:$AH$2))</f>
      </c>
      <c r="AL17" s="7"/>
      <c r="AM17" s="4">
        <f>IF(COUNT(C17:P17)=0,"",IF(AI17&lt;10,1,IF(COUNT(Q17:AC17)=0,"",IF(AJ17&lt;18,2,3))))</f>
      </c>
      <c r="AN17" s="6">
        <f>IF(OR(AL17="",AM17=""),"",IF(AL17=AM17,"","REVIEW"))</f>
      </c>
      <c r="AO17" s="7"/>
      <c r="AP17" s="8">
        <f>IF(AO17&lt;&gt;"",AO17,AM17)</f>
      </c>
    </row>
    <row r="18" spans="1:42" x14ac:dyDescent="0.25">
      <c r="A18" s="9" t="s">
        <v>66</v>
      </c>
      <c r="B18" s="9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4">
        <f>SUMPRODUCT(--(C18:P18=$C$2:$P$2))</f>
      </c>
      <c r="AJ18" s="4">
        <f>SUM(Q18:AC18)</f>
      </c>
      <c r="AK18" s="4">
        <f>SUMPRODUCT(--(AD18:AH18=$AD$2:$AH$2))</f>
      </c>
      <c r="AL18" s="7"/>
      <c r="AM18" s="4">
        <f>IF(COUNT(C18:P18)=0,"",IF(AI18&lt;10,1,IF(COUNT(Q18:AC18)=0,"",IF(AJ18&lt;18,2,3))))</f>
      </c>
      <c r="AN18" s="6">
        <f>IF(OR(AL18="",AM18=""),"",IF(AL18=AM18,"","REVIEW"))</f>
      </c>
      <c r="AO18" s="7"/>
      <c r="AP18" s="8">
        <f>IF(AO18&lt;&gt;"",AO18,AM18)</f>
      </c>
    </row>
    <row r="19" spans="1:42" x14ac:dyDescent="0.25">
      <c r="A19" s="9" t="s">
        <v>67</v>
      </c>
      <c r="B19" s="9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4">
        <f>SUMPRODUCT(--(C19:P19=$C$2:$P$2))</f>
      </c>
      <c r="AJ19" s="4">
        <f>SUM(Q19:AC19)</f>
      </c>
      <c r="AK19" s="4">
        <f>SUMPRODUCT(--(AD19:AH19=$AD$2:$AH$2))</f>
      </c>
      <c r="AL19" s="7"/>
      <c r="AM19" s="4">
        <f>IF(COUNT(C19:P19)=0,"",IF(AI19&lt;10,1,IF(COUNT(Q19:AC19)=0,"",IF(AJ19&lt;18,2,3))))</f>
      </c>
      <c r="AN19" s="6">
        <f>IF(OR(AL19="",AM19=""),"",IF(AL19=AM19,"","REVIEW"))</f>
      </c>
      <c r="AO19" s="7"/>
      <c r="AP19" s="8">
        <f>IF(AO19&lt;&gt;"",AO19,AM19)</f>
      </c>
    </row>
    <row r="20" spans="1:42" x14ac:dyDescent="0.25">
      <c r="A20" s="9" t="s">
        <v>68</v>
      </c>
      <c r="B20" s="9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4">
        <f>SUMPRODUCT(--(C20:P20=$C$2:$P$2))</f>
      </c>
      <c r="AJ20" s="4">
        <f>SUM(Q20:AC20)</f>
      </c>
      <c r="AK20" s="4">
        <f>SUMPRODUCT(--(AD20:AH20=$AD$2:$AH$2))</f>
      </c>
      <c r="AL20" s="7"/>
      <c r="AM20" s="4">
        <f>IF(COUNT(C20:P20)=0,"",IF(AI20&lt;10,1,IF(COUNT(Q20:AC20)=0,"",IF(AJ20&lt;18,2,3))))</f>
      </c>
      <c r="AN20" s="6">
        <f>IF(OR(AL20="",AM20=""),"",IF(AL20=AM20,"","REVIEW"))</f>
      </c>
      <c r="AO20" s="7"/>
      <c r="AP20" s="8">
        <f>IF(AO20&lt;&gt;"",AO20,AM20)</f>
      </c>
    </row>
    <row r="21" spans="1:42" x14ac:dyDescent="0.25">
      <c r="A21" s="9" t="s">
        <v>69</v>
      </c>
      <c r="B21" s="9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4">
        <f>SUMPRODUCT(--(C21:P21=$C$2:$P$2))</f>
      </c>
      <c r="AJ21" s="4">
        <f>SUM(Q21:AC21)</f>
      </c>
      <c r="AK21" s="4">
        <f>SUMPRODUCT(--(AD21:AH21=$AD$2:$AH$2))</f>
      </c>
      <c r="AL21" s="7"/>
      <c r="AM21" s="4">
        <f>IF(COUNT(C21:P21)=0,"",IF(AI21&lt;10,1,IF(COUNT(Q21:AC21)=0,"",IF(AJ21&lt;18,2,3))))</f>
      </c>
      <c r="AN21" s="6">
        <f>IF(OR(AL21="",AM21=""),"",IF(AL21=AM21,"","REVIEW"))</f>
      </c>
      <c r="AO21" s="7"/>
      <c r="AP21" s="8">
        <f>IF(AO21&lt;&gt;"",AO21,AM21)</f>
      </c>
    </row>
    <row r="22" spans="1:42" x14ac:dyDescent="0.25">
      <c r="A22" s="9" t="s">
        <v>70</v>
      </c>
      <c r="B22" s="9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4">
        <f>SUMPRODUCT(--(C22:P22=$C$2:$P$2))</f>
      </c>
      <c r="AJ22" s="4">
        <f>SUM(Q22:AC22)</f>
      </c>
      <c r="AK22" s="4">
        <f>SUMPRODUCT(--(AD22:AH22=$AD$2:$AH$2))</f>
      </c>
      <c r="AL22" s="7"/>
      <c r="AM22" s="4">
        <f>IF(COUNT(C22:P22)=0,"",IF(AI22&lt;10,1,IF(COUNT(Q22:AC22)=0,"",IF(AJ22&lt;18,2,3))))</f>
      </c>
      <c r="AN22" s="6">
        <f>IF(OR(AL22="",AM22=""),"",IF(AL22=AM22,"","REVIEW"))</f>
      </c>
      <c r="AO22" s="7"/>
      <c r="AP22" s="8">
        <f>IF(AO22&lt;&gt;"",AO22,AM22)</f>
      </c>
    </row>
    <row r="23" spans="1:42" x14ac:dyDescent="0.25">
      <c r="A23" s="9" t="s">
        <v>71</v>
      </c>
      <c r="B23" s="9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4">
        <f>SUMPRODUCT(--(C23:P23=$C$2:$P$2))</f>
      </c>
      <c r="AJ23" s="4">
        <f>SUM(Q23:AC23)</f>
      </c>
      <c r="AK23" s="4">
        <f>SUMPRODUCT(--(AD23:AH23=$AD$2:$AH$2))</f>
      </c>
      <c r="AL23" s="7"/>
      <c r="AM23" s="4">
        <f>IF(COUNT(C23:P23)=0,"",IF(AI23&lt;10,1,IF(COUNT(Q23:AC23)=0,"",IF(AJ23&lt;18,2,3))))</f>
      </c>
      <c r="AN23" s="6">
        <f>IF(OR(AL23="",AM23=""),"",IF(AL23=AM23,"","REVIEW"))</f>
      </c>
      <c r="AO23" s="7"/>
      <c r="AP23" s="8">
        <f>IF(AO23&lt;&gt;"",AO23,AM23)</f>
      </c>
    </row>
    <row r="24" spans="1:42" x14ac:dyDescent="0.25">
      <c r="A24" s="9" t="s">
        <v>72</v>
      </c>
      <c r="B24" s="9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4">
        <f>SUMPRODUCT(--(C24:P24=$C$2:$P$2))</f>
      </c>
      <c r="AJ24" s="4">
        <f>SUM(Q24:AC24)</f>
      </c>
      <c r="AK24" s="4">
        <f>SUMPRODUCT(--(AD24:AH24=$AD$2:$AH$2))</f>
      </c>
      <c r="AL24" s="7"/>
      <c r="AM24" s="4">
        <f>IF(COUNT(C24:P24)=0,"",IF(AI24&lt;10,1,IF(COUNT(Q24:AC24)=0,"",IF(AJ24&lt;18,2,3))))</f>
      </c>
      <c r="AN24" s="6">
        <f>IF(OR(AL24="",AM24=""),"",IF(AL24=AM24,"","REVIEW"))</f>
      </c>
      <c r="AO24" s="7"/>
      <c r="AP24" s="8">
        <f>IF(AO24&lt;&gt;"",AO24,AM24)</f>
      </c>
    </row>
    <row r="25" spans="1:42" x14ac:dyDescent="0.25">
      <c r="A25" s="9" t="s">
        <v>73</v>
      </c>
      <c r="B25" s="9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4">
        <f>SUMPRODUCT(--(C25:P25=$C$2:$P$2))</f>
      </c>
      <c r="AJ25" s="4">
        <f>SUM(Q25:AC25)</f>
      </c>
      <c r="AK25" s="4">
        <f>SUMPRODUCT(--(AD25:AH25=$AD$2:$AH$2))</f>
      </c>
      <c r="AL25" s="7"/>
      <c r="AM25" s="4">
        <f>IF(COUNT(C25:P25)=0,"",IF(AI25&lt;10,1,IF(COUNT(Q25:AC25)=0,"",IF(AJ25&lt;18,2,3))))</f>
      </c>
      <c r="AN25" s="6">
        <f>IF(OR(AL25="",AM25=""),"",IF(AL25=AM25,"","REVIEW"))</f>
      </c>
      <c r="AO25" s="7"/>
      <c r="AP25" s="8">
        <f>IF(AO25&lt;&gt;"",AO25,AM25)</f>
      </c>
    </row>
    <row r="26" spans="1:42" x14ac:dyDescent="0.25">
      <c r="A26" s="9" t="s">
        <v>74</v>
      </c>
      <c r="B26" s="9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4">
        <f>SUMPRODUCT(--(C26:P26=$C$2:$P$2))</f>
      </c>
      <c r="AJ26" s="4">
        <f>SUM(Q26:AC26)</f>
      </c>
      <c r="AK26" s="4">
        <f>SUMPRODUCT(--(AD26:AH26=$AD$2:$AH$2))</f>
      </c>
      <c r="AL26" s="7"/>
      <c r="AM26" s="4">
        <f>IF(COUNT(C26:P26)=0,"",IF(AI26&lt;10,1,IF(COUNT(Q26:AC26)=0,"",IF(AJ26&lt;18,2,3))))</f>
      </c>
      <c r="AN26" s="6">
        <f>IF(OR(AL26="",AM26=""),"",IF(AL26=AM26,"","REVIEW"))</f>
      </c>
      <c r="AO26" s="7"/>
      <c r="AP26" s="8">
        <f>IF(AO26&lt;&gt;"",AO26,AM26)</f>
      </c>
    </row>
    <row r="27" spans="1:42" x14ac:dyDescent="0.25">
      <c r="A27" s="9" t="s">
        <v>75</v>
      </c>
      <c r="B27" s="9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4">
        <f>SUMPRODUCT(--(C27:P27=$C$2:$P$2))</f>
      </c>
      <c r="AJ27" s="4">
        <f>SUM(Q27:AC27)</f>
      </c>
      <c r="AK27" s="4">
        <f>SUMPRODUCT(--(AD27:AH27=$AD$2:$AH$2))</f>
      </c>
      <c r="AL27" s="7"/>
      <c r="AM27" s="4">
        <f>IF(COUNT(C27:P27)=0,"",IF(AI27&lt;10,1,IF(COUNT(Q27:AC27)=0,"",IF(AJ27&lt;18,2,3))))</f>
      </c>
      <c r="AN27" s="6">
        <f>IF(OR(AL27="",AM27=""),"",IF(AL27=AM27,"","REVIEW"))</f>
      </c>
      <c r="AO27" s="7"/>
      <c r="AP27" s="8">
        <f>IF(AO27&lt;&gt;"",AO27,AM27)</f>
      </c>
    </row>
    <row r="28" spans="1:42" x14ac:dyDescent="0.25">
      <c r="A28" s="9" t="s">
        <v>76</v>
      </c>
      <c r="B28" s="9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4">
        <f>SUMPRODUCT(--(C28:P28=$C$2:$P$2))</f>
      </c>
      <c r="AJ28" s="4">
        <f>SUM(Q28:AC28)</f>
      </c>
      <c r="AK28" s="4">
        <f>SUMPRODUCT(--(AD28:AH28=$AD$2:$AH$2))</f>
      </c>
      <c r="AL28" s="7"/>
      <c r="AM28" s="4">
        <f>IF(COUNT(C28:P28)=0,"",IF(AI28&lt;10,1,IF(COUNT(Q28:AC28)=0,"",IF(AJ28&lt;18,2,3))))</f>
      </c>
      <c r="AN28" s="6">
        <f>IF(OR(AL28="",AM28=""),"",IF(AL28=AM28,"","REVIEW"))</f>
      </c>
      <c r="AO28" s="7"/>
      <c r="AP28" s="8">
        <f>IF(AO28&lt;&gt;"",AO28,AM28)</f>
      </c>
    </row>
    <row r="29" spans="1:42" x14ac:dyDescent="0.25">
      <c r="A29" s="9" t="s">
        <v>77</v>
      </c>
      <c r="B29" s="9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4">
        <f>SUMPRODUCT(--(C29:P29=$C$2:$P$2))</f>
      </c>
      <c r="AJ29" s="4">
        <f>SUM(Q29:AC29)</f>
      </c>
      <c r="AK29" s="4">
        <f>SUMPRODUCT(--(AD29:AH29=$AD$2:$AH$2))</f>
      </c>
      <c r="AL29" s="7"/>
      <c r="AM29" s="4">
        <f>IF(COUNT(C29:P29)=0,"",IF(AI29&lt;10,1,IF(COUNT(Q29:AC29)=0,"",IF(AJ29&lt;18,2,3))))</f>
      </c>
      <c r="AN29" s="6">
        <f>IF(OR(AL29="",AM29=""),"",IF(AL29=AM29,"","REVIEW"))</f>
      </c>
      <c r="AO29" s="7"/>
      <c r="AP29" s="8">
        <f>IF(AO29&lt;&gt;"",AO29,AM29)</f>
      </c>
    </row>
    <row r="30" spans="1:42" x14ac:dyDescent="0.25">
      <c r="A30" s="9" t="s">
        <v>78</v>
      </c>
      <c r="B30" s="9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4">
        <f>SUMPRODUCT(--(C30:P30=$C$2:$P$2))</f>
      </c>
      <c r="AJ30" s="4">
        <f>SUM(Q30:AC30)</f>
      </c>
      <c r="AK30" s="4">
        <f>SUMPRODUCT(--(AD30:AH30=$AD$2:$AH$2))</f>
      </c>
      <c r="AL30" s="7"/>
      <c r="AM30" s="4">
        <f>IF(COUNT(C30:P30)=0,"",IF(AI30&lt;10,1,IF(COUNT(Q30:AC30)=0,"",IF(AJ30&lt;18,2,3))))</f>
      </c>
      <c r="AN30" s="6">
        <f>IF(OR(AL30="",AM30=""),"",IF(AL30=AM30,"","REVIEW"))</f>
      </c>
      <c r="AO30" s="7"/>
      <c r="AP30" s="8">
        <f>IF(AO30&lt;&gt;"",AO30,AM30)</f>
      </c>
    </row>
    <row r="31" spans="1:42" x14ac:dyDescent="0.25">
      <c r="A31" s="9" t="s">
        <v>79</v>
      </c>
      <c r="B31" s="9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4">
        <f>SUMPRODUCT(--(C31:P31=$C$2:$P$2))</f>
      </c>
      <c r="AJ31" s="4">
        <f>SUM(Q31:AC31)</f>
      </c>
      <c r="AK31" s="4">
        <f>SUMPRODUCT(--(AD31:AH31=$AD$2:$AH$2))</f>
      </c>
      <c r="AL31" s="7"/>
      <c r="AM31" s="4">
        <f>IF(COUNT(C31:P31)=0,"",IF(AI31&lt;10,1,IF(COUNT(Q31:AC31)=0,"",IF(AJ31&lt;18,2,3))))</f>
      </c>
      <c r="AN31" s="6">
        <f>IF(OR(AL31="",AM31=""),"",IF(AL31=AM31,"","REVIEW"))</f>
      </c>
      <c r="AO31" s="7"/>
      <c r="AP31" s="8">
        <f>IF(AO31&lt;&gt;"",AO31,AM31)</f>
      </c>
    </row>
    <row r="32" spans="1:42" x14ac:dyDescent="0.25">
      <c r="A32" s="9" t="s">
        <v>80</v>
      </c>
      <c r="B32" s="9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4">
        <f>SUMPRODUCT(--(C32:P32=$C$2:$P$2))</f>
      </c>
      <c r="AJ32" s="4">
        <f>SUM(Q32:AC32)</f>
      </c>
      <c r="AK32" s="4">
        <f>SUMPRODUCT(--(AD32:AH32=$AD$2:$AH$2))</f>
      </c>
      <c r="AL32" s="7"/>
      <c r="AM32" s="4">
        <f>IF(COUNT(C32:P32)=0,"",IF(AI32&lt;10,1,IF(COUNT(Q32:AC32)=0,"",IF(AJ32&lt;18,2,3))))</f>
      </c>
      <c r="AN32" s="6">
        <f>IF(OR(AL32="",AM32=""),"",IF(AL32=AM32,"","REVIEW"))</f>
      </c>
      <c r="AO32" s="7"/>
      <c r="AP32" s="8">
        <f>IF(AO32&lt;&gt;"",AO32,AM32)</f>
      </c>
    </row>
    <row r="33" spans="1:42" x14ac:dyDescent="0.25">
      <c r="A33" s="9" t="s">
        <v>81</v>
      </c>
      <c r="B33" s="9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4">
        <f>SUMPRODUCT(--(C33:P33=$C$2:$P$2))</f>
      </c>
      <c r="AJ33" s="4">
        <f>SUM(Q33:AC33)</f>
      </c>
      <c r="AK33" s="4">
        <f>SUMPRODUCT(--(AD33:AH33=$AD$2:$AH$2))</f>
      </c>
      <c r="AL33" s="7"/>
      <c r="AM33" s="4">
        <f>IF(COUNT(C33:P33)=0,"",IF(AI33&lt;10,1,IF(COUNT(Q33:AC33)=0,"",IF(AJ33&lt;18,2,3))))</f>
      </c>
      <c r="AN33" s="6">
        <f>IF(OR(AL33="",AM33=""),"",IF(AL33=AM33,"","REVIEW"))</f>
      </c>
      <c r="AO33" s="7"/>
      <c r="AP33" s="8">
        <f>IF(AO33&lt;&gt;"",AO33,AM33)</f>
      </c>
    </row>
    <row r="34" spans="1:42" x14ac:dyDescent="0.25">
      <c r="A34" s="9" t="s">
        <v>82</v>
      </c>
      <c r="B34" s="9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>
        <f>SUMPRODUCT(--(C34:P34=$C$2:$P$2))</f>
      </c>
      <c r="AJ34" s="4">
        <f>SUM(Q34:AC34)</f>
      </c>
      <c r="AK34" s="4">
        <f>SUMPRODUCT(--(AD34:AH34=$AD$2:$AH$2))</f>
      </c>
      <c r="AL34" s="7"/>
      <c r="AM34" s="4">
        <f>IF(COUNT(C34:P34)=0,"",IF(AI34&lt;10,1,IF(COUNT(Q34:AC34)=0,"",IF(AJ34&lt;18,2,3))))</f>
      </c>
      <c r="AN34" s="6">
        <f>IF(OR(AL34="",AM34=""),"",IF(AL34=AM34,"","REVIEW"))</f>
      </c>
      <c r="AO34" s="7"/>
      <c r="AP34" s="8">
        <f>IF(AO34&lt;&gt;"",AO34,AM34)</f>
      </c>
    </row>
    <row r="35" spans="1:42" x14ac:dyDescent="0.25">
      <c r="A35" s="9" t="s">
        <v>83</v>
      </c>
      <c r="B35" s="9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4">
        <f>SUMPRODUCT(--(C35:P35=$C$2:$P$2))</f>
      </c>
      <c r="AJ35" s="4">
        <f>SUM(Q35:AC35)</f>
      </c>
      <c r="AK35" s="4">
        <f>SUMPRODUCT(--(AD35:AH35=$AD$2:$AH$2))</f>
      </c>
      <c r="AL35" s="7"/>
      <c r="AM35" s="4">
        <f>IF(COUNT(C35:P35)=0,"",IF(AI35&lt;10,1,IF(COUNT(Q35:AC35)=0,"",IF(AJ35&lt;18,2,3))))</f>
      </c>
      <c r="AN35" s="6">
        <f>IF(OR(AL35="",AM35=""),"",IF(AL35=AM35,"","REVIEW"))</f>
      </c>
      <c r="AO35" s="7"/>
      <c r="AP35" s="8">
        <f>IF(AO35&lt;&gt;"",AO35,AM35)</f>
      </c>
    </row>
    <row r="36" spans="1:42" x14ac:dyDescent="0.25">
      <c r="A36" s="9" t="s">
        <v>84</v>
      </c>
      <c r="B36" s="9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4">
        <f>SUMPRODUCT(--(C36:P36=$C$2:$P$2))</f>
      </c>
      <c r="AJ36" s="4">
        <f>SUM(Q36:AC36)</f>
      </c>
      <c r="AK36" s="4">
        <f>SUMPRODUCT(--(AD36:AH36=$AD$2:$AH$2))</f>
      </c>
      <c r="AL36" s="7"/>
      <c r="AM36" s="4">
        <f>IF(COUNT(C36:P36)=0,"",IF(AI36&lt;10,1,IF(COUNT(Q36:AC36)=0,"",IF(AJ36&lt;18,2,3))))</f>
      </c>
      <c r="AN36" s="6">
        <f>IF(OR(AL36="",AM36=""),"",IF(AL36=AM36,"","REVIEW"))</f>
      </c>
      <c r="AO36" s="7"/>
      <c r="AP36" s="8">
        <f>IF(AO36&lt;&gt;"",AO36,AM36)</f>
      </c>
    </row>
  </sheetData>
  <dataValidations count="12">
    <dataValidation type="whole" allowBlank="1" showErrorMessage="1" error="Part B takes 0, 1 or 2" sqref="AA10:AC36">
      <formula1>0</formula1>
      <formula2>2</formula2>
    </dataValidation>
    <dataValidation type="whole" allowBlank="1" showErrorMessage="1" error="Part B takes 0, 1 or 2" sqref="AA3:AC36">
      <formula1>0</formula1>
      <formula2>2</formula2>
    </dataValidation>
    <dataValidation type="list" allowBlank="1" showErrorMessage="1" error="Part C takes a, b, c or d (lowercase)" sqref="AD10:AH36">
      <formula1>"a,b,c,d"</formula1>
    </dataValidation>
    <dataValidation type="list" allowBlank="1" showErrorMessage="1" error="Part C takes a, b, c or d (lowercase)" sqref="AD3:AH36">
      <formula1>"a,b,c,d"</formula1>
    </dataValidation>
    <dataValidation type="list" allowBlank="1" showErrorMessage="1" error="Teacher level is 1, 2 or 3" sqref="AL10:AL36">
      <formula1>"1,2,3"</formula1>
    </dataValidation>
    <dataValidation type="list" allowBlank="1" showErrorMessage="1" error="Teacher level is 1, 2 or 3" sqref="AL3:AL36">
      <formula1>"1,2,3"</formula1>
    </dataValidation>
    <dataValidation type="list" allowBlank="1" showErrorMessage="1" error="Override is 1, 2 or 3" sqref="AO10:AO36">
      <formula1>"1,2,3"</formula1>
    </dataValidation>
    <dataValidation type="list" allowBlank="1" showErrorMessage="1" error="Override is 1, 2 or 3" sqref="AO3:AO36">
      <formula1>"1,2,3"</formula1>
    </dataValidation>
    <dataValidation type="whole" allowBlank="1" showErrorMessage="1" error="Part A takes 1–7 only" sqref="C10:P36">
      <formula1>1</formula1>
      <formula2>7</formula2>
    </dataValidation>
    <dataValidation type="whole" allowBlank="1" showErrorMessage="1" error="Part A takes 1–7 only" sqref="C3:P36">
      <formula1>1</formula1>
      <formula2>7</formula2>
    </dataValidation>
    <dataValidation type="whole" allowBlank="1" showErrorMessage="1" error="Part B takes 0, 1 or 2" sqref="Q10:AC36">
      <formula1>0</formula1>
      <formula2>2</formula2>
    </dataValidation>
    <dataValidation type="whole" allowBlank="1" showErrorMessage="1" error="Part B takes 0, 1 or 2" sqref="Q3:AC36">
      <formula1>0</formula1>
      <formula2>2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1" width="130" customWidth="1"/>
  </cols>
  <sheetData>
    <row r="1" spans="1:1" s="10" customFormat="1" x14ac:dyDescent="0.25">
      <c r="A1" s="11" t="s">
        <v>85</v>
      </c>
    </row>
    <row r="2" spans="1:1" x14ac:dyDescent="0.25">
      <c r="A2" s="12" t="s">
        <v>45</v>
      </c>
    </row>
    <row r="3" spans="1:1" x14ac:dyDescent="0.25">
      <c r="A3" s="12" t="s">
        <v>86</v>
      </c>
    </row>
    <row r="4" spans="1:1" x14ac:dyDescent="0.25">
      <c r="A4" s="12" t="s">
        <v>87</v>
      </c>
    </row>
    <row r="5" spans="1:1" x14ac:dyDescent="0.25">
      <c r="A5" s="12" t="s">
        <v>45</v>
      </c>
    </row>
    <row r="6" spans="1:1" x14ac:dyDescent="0.25">
      <c r="A6" s="12" t="s">
        <v>88</v>
      </c>
    </row>
    <row r="7" spans="1:1" x14ac:dyDescent="0.25">
      <c r="A7" s="12" t="s">
        <v>45</v>
      </c>
    </row>
    <row r="8" spans="1:1" x14ac:dyDescent="0.25">
      <c r="A8" s="12" t="s">
        <v>89</v>
      </c>
    </row>
    <row r="9" spans="1:1" x14ac:dyDescent="0.25">
      <c r="A9" s="12" t="s">
        <v>90</v>
      </c>
    </row>
    <row r="10" spans="1:1" x14ac:dyDescent="0.25">
      <c r="A10" s="12" t="s">
        <v>91</v>
      </c>
    </row>
    <row r="11" spans="1:1" x14ac:dyDescent="0.25">
      <c r="A11" s="12" t="s">
        <v>92</v>
      </c>
    </row>
    <row r="12" spans="1:1" x14ac:dyDescent="0.25">
      <c r="A12" s="12" t="s">
        <v>93</v>
      </c>
    </row>
    <row r="13" spans="1:1" x14ac:dyDescent="0.25">
      <c r="A13" s="12" t="s">
        <v>94</v>
      </c>
    </row>
    <row r="14" spans="1:1" x14ac:dyDescent="0.25">
      <c r="A14" s="12" t="s">
        <v>45</v>
      </c>
    </row>
    <row r="15" spans="1:1" x14ac:dyDescent="0.25">
      <c r="A15" s="12" t="s">
        <v>95</v>
      </c>
    </row>
    <row r="16" spans="1:1" x14ac:dyDescent="0.25">
      <c r="A16" s="12" t="s">
        <v>96</v>
      </c>
    </row>
    <row r="17" spans="1:1" x14ac:dyDescent="0.25">
      <c r="A17" s="12" t="s">
        <v>45</v>
      </c>
    </row>
    <row r="18" spans="1:1" x14ac:dyDescent="0.25">
      <c r="A18" s="12" t="s">
        <v>97</v>
      </c>
    </row>
    <row r="19" spans="1:1" x14ac:dyDescent="0.25">
      <c r="A19" s="12" t="s">
        <v>98</v>
      </c>
    </row>
    <row r="20" spans="1:1" x14ac:dyDescent="0.25">
      <c r="A20" s="12" t="s">
        <v>45</v>
      </c>
    </row>
    <row r="21" spans="1:1" x14ac:dyDescent="0.25">
      <c r="A21" s="12" t="s">
        <v>99</v>
      </c>
    </row>
    <row r="22" spans="1:1" x14ac:dyDescent="0.25">
      <c r="A22" s="1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2026-09-01T18:39:10Z</dcterms:created>
  <dcterms:modified xsi:type="dcterms:W3CDTF">2026-09-01T18:39:10Z</dcterms:modified>
</cp:coreProperties>
</file>