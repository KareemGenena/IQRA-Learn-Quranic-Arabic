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filterPrivacy="1"/>
  <xr:revisionPtr revIDLastSave="0" documentId="13_ncr:1_{A1581CCD-1261-4CAF-8EE3-255D35D595A9}" xr6:coauthVersionLast="47" xr6:coauthVersionMax="47" xr10:uidLastSave="{00000000-0000-0000-0000-000000000000}"/>
  <bookViews>
    <workbookView xWindow="0" yWindow="360" windowWidth="29040" windowHeight="15720" xr2:uid="{00000000-000D-0000-FFFF-FFFF00000000}"/>
  </bookViews>
  <sheets>
    <sheet name="Results" sheetId="1" r:id="rId1"/>
    <sheet name="Read M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23" i="1" l="1"/>
  <c r="AP23" i="1" s="1"/>
  <c r="AK23" i="1"/>
  <c r="AJ23" i="1"/>
  <c r="AI23" i="1"/>
  <c r="AM22" i="1"/>
  <c r="AP22" i="1" s="1"/>
  <c r="AK22" i="1"/>
  <c r="AJ22" i="1"/>
  <c r="AI22" i="1"/>
  <c r="AM21" i="1"/>
  <c r="AP21" i="1" s="1"/>
  <c r="AK21" i="1"/>
  <c r="AJ21" i="1"/>
  <c r="AI21" i="1"/>
  <c r="AM20" i="1"/>
  <c r="AP20" i="1" s="1"/>
  <c r="AK20" i="1"/>
  <c r="AJ20" i="1"/>
  <c r="AI20" i="1"/>
  <c r="AM19" i="1"/>
  <c r="AP19" i="1" s="1"/>
  <c r="AK19" i="1"/>
  <c r="AJ19" i="1"/>
  <c r="AI19" i="1"/>
  <c r="AM18" i="1"/>
  <c r="AP18" i="1" s="1"/>
  <c r="AK18" i="1"/>
  <c r="AJ18" i="1"/>
  <c r="AI18" i="1"/>
  <c r="AM17" i="1"/>
  <c r="AP17" i="1" s="1"/>
  <c r="AK17" i="1"/>
  <c r="AJ17" i="1"/>
  <c r="AI17" i="1"/>
  <c r="AM16" i="1"/>
  <c r="AP16" i="1" s="1"/>
  <c r="AK16" i="1"/>
  <c r="AJ16" i="1"/>
  <c r="AI16" i="1"/>
  <c r="AM15" i="1"/>
  <c r="AP15" i="1" s="1"/>
  <c r="AK15" i="1"/>
  <c r="AJ15" i="1"/>
  <c r="AI15" i="1"/>
  <c r="AP14" i="1"/>
  <c r="AM14" i="1"/>
  <c r="AN14" i="1" s="1"/>
  <c r="AK14" i="1"/>
  <c r="AJ14" i="1"/>
  <c r="AI14" i="1"/>
  <c r="AP13" i="1"/>
  <c r="AM13" i="1"/>
  <c r="AN13" i="1" s="1"/>
  <c r="AK13" i="1"/>
  <c r="AJ13" i="1"/>
  <c r="AI13" i="1"/>
  <c r="AM12" i="1"/>
  <c r="AN12" i="1" s="1"/>
  <c r="AK12" i="1"/>
  <c r="AJ12" i="1"/>
  <c r="AI12" i="1"/>
  <c r="AP11" i="1"/>
  <c r="AM11" i="1"/>
  <c r="AN11" i="1" s="1"/>
  <c r="AK11" i="1"/>
  <c r="AJ11" i="1"/>
  <c r="AI11" i="1"/>
  <c r="AM10" i="1"/>
  <c r="AP10" i="1" s="1"/>
  <c r="AK10" i="1"/>
  <c r="AJ10" i="1"/>
  <c r="AI10" i="1"/>
  <c r="AM9" i="1"/>
  <c r="AP9" i="1" s="1"/>
  <c r="AK9" i="1"/>
  <c r="AJ9" i="1"/>
  <c r="AI9" i="1"/>
  <c r="AM8" i="1"/>
  <c r="AP8" i="1" s="1"/>
  <c r="AK8" i="1"/>
  <c r="AJ8" i="1"/>
  <c r="AI8" i="1"/>
  <c r="AM7" i="1"/>
  <c r="AP7" i="1" s="1"/>
  <c r="AK7" i="1"/>
  <c r="AJ7" i="1"/>
  <c r="AI7" i="1"/>
  <c r="AM6" i="1"/>
  <c r="AP6" i="1" s="1"/>
  <c r="AK6" i="1"/>
  <c r="AJ6" i="1"/>
  <c r="AI6" i="1"/>
  <c r="AM5" i="1"/>
  <c r="AP5" i="1" s="1"/>
  <c r="AK5" i="1"/>
  <c r="AJ5" i="1"/>
  <c r="AI5" i="1"/>
  <c r="AM4" i="1"/>
  <c r="AN4" i="1" s="1"/>
  <c r="AK4" i="1"/>
  <c r="AJ4" i="1"/>
  <c r="AI4" i="1"/>
  <c r="AK3" i="1"/>
  <c r="AJ3" i="1"/>
  <c r="AM3" i="1" s="1"/>
  <c r="AI3" i="1"/>
  <c r="AN3" i="1" l="1"/>
  <c r="AP3" i="1"/>
  <c r="AP12" i="1"/>
  <c r="AN5" i="1"/>
  <c r="AN16" i="1"/>
  <c r="AP4" i="1"/>
  <c r="AN9" i="1"/>
  <c r="AN20" i="1"/>
  <c r="AN6" i="1"/>
  <c r="AN17" i="1"/>
  <c r="AN10" i="1"/>
  <c r="AN21" i="1"/>
  <c r="AN7" i="1"/>
  <c r="AN18" i="1"/>
  <c r="AN22" i="1"/>
  <c r="AN15" i="1"/>
  <c r="AN8" i="1"/>
  <c r="AN19" i="1"/>
  <c r="AN23" i="1"/>
</calcChain>
</file>

<file path=xl/sharedStrings.xml><?xml version="1.0" encoding="utf-8"?>
<sst xmlns="http://schemas.openxmlformats.org/spreadsheetml/2006/main" count="112" uniqueCount="88">
  <si>
    <t>ID</t>
  </si>
  <si>
    <t>Name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</si>
  <si>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</si>
  <si>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</si>
  <si>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</si>
  <si>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</si>
  <si>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</si>
  <si>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</si>
  <si>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</si>
  <si>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</si>
  <si>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</si>
  <si>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</si>
  <si>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</si>
  <si>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</si>
  <si>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</si>
  <si>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</si>
  <si>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B1</t>
  </si>
  <si>
    <t>B2</t>
  </si>
  <si>
    <t>B3</t>
  </si>
  <si>
    <t>B4</t>
  </si>
  <si>
    <t>B5</t>
  </si>
  <si>
    <t>B6</t>
  </si>
  <si>
    <t>B7</t>
  </si>
  <si>
    <t>B8</t>
  </si>
  <si>
    <t>B9</t>
  </si>
  <si>
    <t>B10</t>
  </si>
  <si>
    <t>B11</t>
  </si>
  <si>
    <t>B12</t>
  </si>
  <si>
    <t>B13</t>
  </si>
  <si>
    <t>C1</t>
  </si>
  <si>
    <t>C2</t>
  </si>
  <si>
    <t>C3</t>
  </si>
  <si>
    <t>C4</t>
  </si>
  <si>
    <t>C5</t>
  </si>
  <si>
    <t>A score /14</t>
  </si>
  <si>
    <t>B score /26</t>
  </si>
  <si>
    <t>C score /5</t>
  </si>
  <si>
    <t>Teacher level</t>
  </si>
  <si>
    <t>Level</t>
  </si>
  <si>
    <t>Check</t>
  </si>
  <si>
    <t>Teacher override</t>
  </si>
  <si>
    <t>FINAL LEVEL</t>
  </si>
  <si>
    <t>Notes</t>
  </si>
  <si>
    <t>KEY</t>
  </si>
  <si>
    <t>answer key — do not edit</t>
  </si>
  <si>
    <t/>
  </si>
  <si>
    <t>a</t>
  </si>
  <si>
    <t>b</t>
  </si>
  <si>
    <t>c</t>
  </si>
  <si>
    <t>EXAMPLE</t>
  </si>
  <si>
    <t>delete my entries before the session</t>
  </si>
  <si>
    <t>d</t>
  </si>
  <si>
    <t>M-01</t>
  </si>
  <si>
    <t>M-02</t>
  </si>
  <si>
    <t>M-03</t>
  </si>
  <si>
    <t>M-04</t>
  </si>
  <si>
    <t>M-05</t>
  </si>
  <si>
    <t>M-06</t>
  </si>
  <si>
    <t>M-07</t>
  </si>
  <si>
    <t>M-08</t>
  </si>
  <si>
    <t>M-09</t>
  </si>
  <si>
    <t>M-10</t>
  </si>
  <si>
    <t>M-11</t>
  </si>
  <si>
    <t>M-12</t>
  </si>
  <si>
    <t>M-13</t>
  </si>
  <si>
    <t>M-14</t>
  </si>
  <si>
    <t>M-15</t>
  </si>
  <si>
    <t>M-16</t>
  </si>
  <si>
    <t>M-17</t>
  </si>
  <si>
    <t>M-18</t>
  </si>
  <si>
    <t>M-19</t>
  </si>
  <si>
    <t>M-20</t>
  </si>
  <si>
    <t>Maktab placement — results workbook (v1.0, Aug 2026)</t>
  </si>
  <si>
    <t>WHAT YOU TYPE (blue cells): A1–A14 the number the student wrote (1–7); B1–B13 the teacher’s 0/1/2; C1–C5 the circled letter (a–d, lowercase); Teacher level — the 1/2/3 from the last column of the teacher’s paper grid, his blind opinion; Teacher override (1–3) only during the end-of-session review.</t>
  </si>
  <si>
    <t>WHAT CALCULATES ITSELF (grey cells): the three scores, Level, Check, and FINAL LEVEL. Never type there.</t>
  </si>
  <si>
    <t>Row 2 is the answer key. The EXAMPLE row shows one filled-in student whose teacher said 3 but whose scores compute 2 — a live REVIEW row. Delete its entries before the session (keep the row; its formulas are live).</t>
  </si>
  <si>
    <t>LEVEL RULE (decided by the programme, Aug 2026):</t>
  </si>
  <si>
    <t xml:space="preserve">  Level 1 — A score below 10 of 14.</t>
  </si>
  <si>
    <t xml:space="preserve">  Level 2 — A ≥ 10 and B score below 18 of 26.</t>
  </si>
  <si>
    <t xml:space="preserve">  Level 3 — A ≥ 10 and B ≥ 18.</t>
  </si>
  <si>
    <t xml:space="preserve">  Part C never changes the level; it informs the teacher’s call on REVIEW rows. FINAL LEVEL = override when present, else Level.</t>
  </si>
  <si>
    <t xml:space="preserve">  The thresholds 10 and 18 are typed inside the Level formula (column AM). To change one, edit that formula on every student row.</t>
  </si>
  <si>
    <t>THE REVIEW (last 10 minutes): Check shows REVIEW wherever the teacher’s blind level disagrees with the computed Level. Show the teacher those rows with their full scores; he decides; type it in Teacher override. Rows without REVIEW are already placed.</t>
  </si>
  <si>
    <t>Keep the agreement rate in mind: if teacher and formula disagree often in the same direction, the 10/18 thresholds need adjusting next time.</t>
  </si>
  <si>
    <t>Level shows blank until that student’s Part A is entered and at least one B item exists (or A already places them in Level 1).</t>
  </si>
  <si>
    <t>A blank answer counts as wrong in A and C, and as 0 in the B total — which is what an unanswered item means here.</t>
  </si>
  <si>
    <t>IMPORT: sheets.google.com → Blank → File → Import → Upload → this file → Replace spreadsheet. Formulas and dropdowns survive the import; Google Sheets recalculates everything itself.</t>
  </si>
  <si>
    <t>Source of scoring rules: Maktab Student Assessment — KG, Aug 15 2026, plus the level rule agreed with the programme lead.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</si>
</sst>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0"/>
      <name val="Arial"/>
    </font>
    <font>
      <b/>
      <sz val="10"/>
      <color rgb="FFFFFFFF"/>
      <name val="Arial"/>
    </font>
    <font>
      <i/>
      <sz val="10"/>
      <color rgb="FF777777"/>
      <name val="Arial"/>
    </font>
    <font>
      <sz val="10"/>
      <name val="Arial"/>
    </font>
    <font>
      <sz val="10"/>
      <color rgb="FF0000FF"/>
      <name val="Arial"/>
    </font>
    <font>
      <b/>
      <sz val="10"/>
      <color rgb="FF8C3A2B"/>
      <name val="Arial"/>
    </font>
    <font>
      <b/>
      <sz val="12"/>
      <name val="Arial"/>
    </font>
  </fonts>
  <fills count="6">
    <fill>
      <patternFill patternType="none"/>
    </fill>
    <fill>
      <patternFill patternType="gray125"/>
    </fill>
    <fill>
      <patternFill patternType="solid">
        <fgColor rgb="FF1F6F63"/>
      </patternFill>
    </fill>
    <fill>
      <patternFill patternType="solid">
        <fgColor rgb="FFEFEFEA"/>
      </patternFill>
    </fill>
    <fill>
      <patternFill patternType="solid">
        <fgColor rgb="FFFFF6DE"/>
      </patternFill>
    </fill>
    <fill>
      <patternFill patternType="solid">
        <fgColor rgb="FFF3F3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4" fillId="4" borderId="0" xfId="0" applyFont="1" applyFill="1"/>
    <xf numFmtId="0" fontId="4" fillId="5" borderId="0" xfId="0" applyFont="1" applyFill="1"/>
    <xf numFmtId="0" fontId="5" fillId="4" borderId="0" xfId="0" applyFont="1" applyFill="1"/>
    <xf numFmtId="0" fontId="6" fillId="5" borderId="0" xfId="0" applyFont="1" applyFill="1"/>
    <xf numFmtId="0" fontId="5" fillId="0" borderId="0" xfId="0" applyFont="1"/>
    <xf numFmtId="0" fontId="1" fillId="5" borderId="0" xfId="0" applyFont="1" applyFill="1"/>
    <xf numFmtId="0" fontId="4" fillId="0" borderId="0" xfId="0" applyFont="1"/>
    <xf numFmtId="0" fontId="7" fillId="0" borderId="0" xfId="0" applyFont="1"/>
    <xf numFmtId="0" fontId="7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23"/>
  <sheetViews>
    <sheetView tabSelected="1" workbookViewId="0">
      <pane xSplit="2" ySplit="2" topLeftCell="H3" activePane="bottomRight" state="frozen"/>
      <selection pane="topRight"/>
      <selection pane="bottomLeft"/>
      <selection pane="bottomRight" activeCell="AO1" sqref="AO1"/>
    </sheetView>
  </sheetViews>
  <sheetFormatPr defaultRowHeight="15" x14ac:dyDescent="0.25"/>
  <cols>
    <col min="1" max="1" width="10" customWidth="1"/>
    <col min="2" max="2" width="26" customWidth="1"/>
    <col min="3" max="34" width="4.42578125" customWidth="1"/>
    <col min="35" max="35" width="13" customWidth="1"/>
    <col min="36" max="36" width="12.140625" customWidth="1"/>
    <col min="37" max="37" width="12" customWidth="1"/>
    <col min="38" max="38" width="14" customWidth="1"/>
    <col min="39" max="40" width="10.7109375" customWidth="1"/>
    <col min="41" max="41" width="17.42578125" customWidth="1"/>
    <col min="42" max="42" width="12" customWidth="1"/>
    <col min="43" max="43" width="30" customWidth="1"/>
  </cols>
  <sheetData>
    <row r="1" spans="1:43" s="1" customFormat="1" ht="12.75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</row>
    <row r="2" spans="1:43" x14ac:dyDescent="0.25">
      <c r="A2" s="3" t="s">
        <v>43</v>
      </c>
      <c r="B2" s="3" t="s">
        <v>44</v>
      </c>
      <c r="C2" s="3">
        <v>5</v>
      </c>
      <c r="D2" s="3">
        <v>4</v>
      </c>
      <c r="E2" s="3">
        <v>6</v>
      </c>
      <c r="F2" s="3">
        <v>3</v>
      </c>
      <c r="G2" s="3">
        <v>1</v>
      </c>
      <c r="H2" s="3">
        <v>7</v>
      </c>
      <c r="I2" s="3">
        <v>2</v>
      </c>
      <c r="J2" s="3">
        <v>5</v>
      </c>
      <c r="K2" s="3">
        <v>4</v>
      </c>
      <c r="L2" s="3">
        <v>3</v>
      </c>
      <c r="M2" s="3">
        <v>2</v>
      </c>
      <c r="N2" s="3">
        <v>7</v>
      </c>
      <c r="O2" s="3">
        <v>6</v>
      </c>
      <c r="P2" s="3">
        <v>1</v>
      </c>
      <c r="Q2" s="3" t="s">
        <v>45</v>
      </c>
      <c r="R2" s="3" t="s">
        <v>45</v>
      </c>
      <c r="S2" s="3" t="s">
        <v>45</v>
      </c>
      <c r="T2" s="3" t="s">
        <v>45</v>
      </c>
      <c r="U2" s="3" t="s">
        <v>45</v>
      </c>
      <c r="V2" s="3" t="s">
        <v>45</v>
      </c>
      <c r="W2" s="3" t="s">
        <v>45</v>
      </c>
      <c r="X2" s="3" t="s">
        <v>45</v>
      </c>
      <c r="Y2" s="3" t="s">
        <v>45</v>
      </c>
      <c r="Z2" s="3" t="s">
        <v>45</v>
      </c>
      <c r="AA2" s="3" t="s">
        <v>45</v>
      </c>
      <c r="AB2" s="3" t="s">
        <v>45</v>
      </c>
      <c r="AC2" s="3" t="s">
        <v>45</v>
      </c>
      <c r="AD2" s="3" t="s">
        <v>46</v>
      </c>
      <c r="AE2" s="3" t="s">
        <v>47</v>
      </c>
      <c r="AF2" s="3" t="s">
        <v>47</v>
      </c>
      <c r="AG2" s="3" t="s">
        <v>48</v>
      </c>
      <c r="AH2" s="3" t="s">
        <v>48</v>
      </c>
    </row>
    <row r="3" spans="1:43" x14ac:dyDescent="0.25">
      <c r="A3" s="4" t="s">
        <v>49</v>
      </c>
      <c r="B3" s="4" t="s">
        <v>50</v>
      </c>
      <c r="C3" s="4">
        <v>5</v>
      </c>
      <c r="D3" s="4">
        <v>4</v>
      </c>
      <c r="E3" s="4">
        <v>6</v>
      </c>
      <c r="F3" s="4">
        <v>2</v>
      </c>
      <c r="G3" s="4">
        <v>1</v>
      </c>
      <c r="H3" s="4">
        <v>7</v>
      </c>
      <c r="I3" s="4">
        <v>3</v>
      </c>
      <c r="J3" s="4">
        <v>5</v>
      </c>
      <c r="K3" s="4">
        <v>4</v>
      </c>
      <c r="L3" s="4">
        <v>3</v>
      </c>
      <c r="M3" s="4">
        <v>1</v>
      </c>
      <c r="N3" s="4">
        <v>7</v>
      </c>
      <c r="O3" s="4">
        <v>6</v>
      </c>
      <c r="P3" s="4">
        <v>2</v>
      </c>
      <c r="Q3" s="4">
        <v>2</v>
      </c>
      <c r="R3" s="4">
        <v>2</v>
      </c>
      <c r="S3" s="4">
        <v>1</v>
      </c>
      <c r="T3" s="4">
        <v>2</v>
      </c>
      <c r="U3" s="4">
        <v>1</v>
      </c>
      <c r="V3" s="4">
        <v>1</v>
      </c>
      <c r="W3" s="4">
        <v>1</v>
      </c>
      <c r="X3" s="4">
        <v>1</v>
      </c>
      <c r="Y3" s="4">
        <v>0</v>
      </c>
      <c r="Z3" s="4">
        <v>1</v>
      </c>
      <c r="AA3" s="4">
        <v>0</v>
      </c>
      <c r="AB3" s="4">
        <v>1</v>
      </c>
      <c r="AC3" s="4">
        <v>1</v>
      </c>
      <c r="AD3" s="4" t="s">
        <v>46</v>
      </c>
      <c r="AE3" s="4" t="s">
        <v>48</v>
      </c>
      <c r="AF3" s="4" t="s">
        <v>47</v>
      </c>
      <c r="AG3" s="4" t="s">
        <v>48</v>
      </c>
      <c r="AH3" s="4" t="s">
        <v>51</v>
      </c>
      <c r="AI3" s="5">
        <f t="shared" ref="AI3:AI23" si="0">SUMPRODUCT(--(C3:P3=$C$2:$P$2))</f>
        <v>10</v>
      </c>
      <c r="AJ3" s="5">
        <f t="shared" ref="AJ3:AJ23" si="1">SUM(Q3:AC3)</f>
        <v>14</v>
      </c>
      <c r="AK3" s="5">
        <f t="shared" ref="AK3:AK23" si="2">SUMPRODUCT(--(AD3:AH3=$AD$2:$AH$2))</f>
        <v>3</v>
      </c>
      <c r="AL3" s="6">
        <v>3</v>
      </c>
      <c r="AM3" s="5">
        <f t="shared" ref="AM3:AM23" si="3">IF(COUNT(C3:P3)=0,"",IF(AI3&lt;10,1,IF(COUNT(Q3:AC3)=0,"",IF(AJ3&lt;18,2,3))))</f>
        <v>2</v>
      </c>
      <c r="AN3" s="7" t="str">
        <f t="shared" ref="AN3:AN23" si="4">IF(OR(AL3="",AM3=""),"",IF(AL3=AM3,"","REVIEW"))</f>
        <v>REVIEW</v>
      </c>
      <c r="AO3" s="8"/>
      <c r="AP3" s="9">
        <f t="shared" ref="AP3:AP23" si="5">IF(AO3&lt;&gt;"",AO3,AM3)</f>
        <v>2</v>
      </c>
    </row>
    <row r="4" spans="1:43" x14ac:dyDescent="0.25">
      <c r="A4" s="10" t="s">
        <v>52</v>
      </c>
      <c r="B4" s="10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5">
        <f t="shared" si="0"/>
        <v>0</v>
      </c>
      <c r="AJ4" s="5">
        <f t="shared" si="1"/>
        <v>0</v>
      </c>
      <c r="AK4" s="5">
        <f t="shared" si="2"/>
        <v>0</v>
      </c>
      <c r="AL4" s="8"/>
      <c r="AM4" s="5" t="str">
        <f t="shared" si="3"/>
        <v/>
      </c>
      <c r="AN4" s="7" t="str">
        <f t="shared" si="4"/>
        <v/>
      </c>
      <c r="AO4" s="8"/>
      <c r="AP4" s="9" t="str">
        <f t="shared" si="5"/>
        <v/>
      </c>
    </row>
    <row r="5" spans="1:43" x14ac:dyDescent="0.25">
      <c r="A5" s="10" t="s">
        <v>53</v>
      </c>
      <c r="B5" s="10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5">
        <f t="shared" si="0"/>
        <v>0</v>
      </c>
      <c r="AJ5" s="5">
        <f t="shared" si="1"/>
        <v>0</v>
      </c>
      <c r="AK5" s="5">
        <f t="shared" si="2"/>
        <v>0</v>
      </c>
      <c r="AL5" s="8"/>
      <c r="AM5" s="5" t="str">
        <f t="shared" si="3"/>
        <v/>
      </c>
      <c r="AN5" s="7" t="str">
        <f t="shared" si="4"/>
        <v/>
      </c>
      <c r="AO5" s="8"/>
      <c r="AP5" s="9" t="str">
        <f t="shared" si="5"/>
        <v/>
      </c>
    </row>
    <row r="6" spans="1:43" x14ac:dyDescent="0.25">
      <c r="A6" s="10" t="s">
        <v>54</v>
      </c>
      <c r="B6" s="10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5">
        <f t="shared" si="0"/>
        <v>0</v>
      </c>
      <c r="AJ6" s="5">
        <f t="shared" si="1"/>
        <v>0</v>
      </c>
      <c r="AK6" s="5">
        <f t="shared" si="2"/>
        <v>0</v>
      </c>
      <c r="AL6" s="8"/>
      <c r="AM6" s="5" t="str">
        <f t="shared" si="3"/>
        <v/>
      </c>
      <c r="AN6" s="7" t="str">
        <f t="shared" si="4"/>
        <v/>
      </c>
      <c r="AO6" s="8"/>
      <c r="AP6" s="9" t="str">
        <f t="shared" si="5"/>
        <v/>
      </c>
    </row>
    <row r="7" spans="1:43" x14ac:dyDescent="0.25">
      <c r="A7" s="10" t="s">
        <v>55</v>
      </c>
      <c r="B7" s="10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5">
        <f t="shared" si="0"/>
        <v>0</v>
      </c>
      <c r="AJ7" s="5">
        <f t="shared" si="1"/>
        <v>0</v>
      </c>
      <c r="AK7" s="5">
        <f t="shared" si="2"/>
        <v>0</v>
      </c>
      <c r="AL7" s="8"/>
      <c r="AM7" s="5" t="str">
        <f t="shared" si="3"/>
        <v/>
      </c>
      <c r="AN7" s="7" t="str">
        <f t="shared" si="4"/>
        <v/>
      </c>
      <c r="AO7" s="8"/>
      <c r="AP7" s="9" t="str">
        <f t="shared" si="5"/>
        <v/>
      </c>
    </row>
    <row r="8" spans="1:43" x14ac:dyDescent="0.25">
      <c r="A8" s="10" t="s">
        <v>56</v>
      </c>
      <c r="B8" s="10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5">
        <f t="shared" si="0"/>
        <v>0</v>
      </c>
      <c r="AJ8" s="5">
        <f t="shared" si="1"/>
        <v>0</v>
      </c>
      <c r="AK8" s="5">
        <f t="shared" si="2"/>
        <v>0</v>
      </c>
      <c r="AL8" s="8"/>
      <c r="AM8" s="5" t="str">
        <f t="shared" si="3"/>
        <v/>
      </c>
      <c r="AN8" s="7" t="str">
        <f t="shared" si="4"/>
        <v/>
      </c>
      <c r="AO8" s="8"/>
      <c r="AP8" s="9" t="str">
        <f t="shared" si="5"/>
        <v/>
      </c>
    </row>
    <row r="9" spans="1:43" x14ac:dyDescent="0.25">
      <c r="A9" s="10" t="s">
        <v>57</v>
      </c>
      <c r="B9" s="10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5">
        <f t="shared" si="0"/>
        <v>0</v>
      </c>
      <c r="AJ9" s="5">
        <f t="shared" si="1"/>
        <v>0</v>
      </c>
      <c r="AK9" s="5">
        <f t="shared" si="2"/>
        <v>0</v>
      </c>
      <c r="AL9" s="8"/>
      <c r="AM9" s="5" t="str">
        <f t="shared" si="3"/>
        <v/>
      </c>
      <c r="AN9" s="7" t="str">
        <f t="shared" si="4"/>
        <v/>
      </c>
      <c r="AO9" s="8"/>
      <c r="AP9" s="9" t="str">
        <f t="shared" si="5"/>
        <v/>
      </c>
    </row>
    <row r="10" spans="1:43" x14ac:dyDescent="0.25">
      <c r="A10" s="10" t="s">
        <v>58</v>
      </c>
      <c r="B10" s="10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5">
        <f t="shared" si="0"/>
        <v>0</v>
      </c>
      <c r="AJ10" s="5">
        <f t="shared" si="1"/>
        <v>0</v>
      </c>
      <c r="AK10" s="5">
        <f t="shared" si="2"/>
        <v>0</v>
      </c>
      <c r="AL10" s="8"/>
      <c r="AM10" s="5" t="str">
        <f t="shared" si="3"/>
        <v/>
      </c>
      <c r="AN10" s="7" t="str">
        <f t="shared" si="4"/>
        <v/>
      </c>
      <c r="AO10" s="8"/>
      <c r="AP10" s="9" t="str">
        <f t="shared" si="5"/>
        <v/>
      </c>
    </row>
    <row r="11" spans="1:43" x14ac:dyDescent="0.25">
      <c r="A11" s="10" t="s">
        <v>59</v>
      </c>
      <c r="B11" s="10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5">
        <f t="shared" si="0"/>
        <v>0</v>
      </c>
      <c r="AJ11" s="5">
        <f t="shared" si="1"/>
        <v>0</v>
      </c>
      <c r="AK11" s="5">
        <f t="shared" si="2"/>
        <v>0</v>
      </c>
      <c r="AL11" s="8"/>
      <c r="AM11" s="5" t="str">
        <f t="shared" si="3"/>
        <v/>
      </c>
      <c r="AN11" s="7" t="str">
        <f t="shared" si="4"/>
        <v/>
      </c>
      <c r="AO11" s="8"/>
      <c r="AP11" s="9" t="str">
        <f t="shared" si="5"/>
        <v/>
      </c>
    </row>
    <row r="12" spans="1:43" x14ac:dyDescent="0.25">
      <c r="A12" s="10" t="s">
        <v>60</v>
      </c>
      <c r="B12" s="10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5">
        <f t="shared" si="0"/>
        <v>0</v>
      </c>
      <c r="AJ12" s="5">
        <f t="shared" si="1"/>
        <v>0</v>
      </c>
      <c r="AK12" s="5">
        <f t="shared" si="2"/>
        <v>0</v>
      </c>
      <c r="AL12" s="8"/>
      <c r="AM12" s="5" t="str">
        <f t="shared" si="3"/>
        <v/>
      </c>
      <c r="AN12" s="7" t="str">
        <f t="shared" si="4"/>
        <v/>
      </c>
      <c r="AO12" s="8"/>
      <c r="AP12" s="9" t="str">
        <f t="shared" si="5"/>
        <v/>
      </c>
    </row>
    <row r="13" spans="1:43" x14ac:dyDescent="0.25">
      <c r="A13" s="10" t="s">
        <v>61</v>
      </c>
      <c r="B13" s="10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5">
        <f t="shared" si="0"/>
        <v>0</v>
      </c>
      <c r="AJ13" s="5">
        <f t="shared" si="1"/>
        <v>0</v>
      </c>
      <c r="AK13" s="5">
        <f t="shared" si="2"/>
        <v>0</v>
      </c>
      <c r="AL13" s="8"/>
      <c r="AM13" s="5" t="str">
        <f t="shared" si="3"/>
        <v/>
      </c>
      <c r="AN13" s="7" t="str">
        <f t="shared" si="4"/>
        <v/>
      </c>
      <c r="AO13" s="8"/>
      <c r="AP13" s="9" t="str">
        <f t="shared" si="5"/>
        <v/>
      </c>
    </row>
    <row r="14" spans="1:43" x14ac:dyDescent="0.25">
      <c r="A14" s="10" t="s">
        <v>62</v>
      </c>
      <c r="B14" s="10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5">
        <f t="shared" si="0"/>
        <v>0</v>
      </c>
      <c r="AJ14" s="5">
        <f t="shared" si="1"/>
        <v>0</v>
      </c>
      <c r="AK14" s="5">
        <f t="shared" si="2"/>
        <v>0</v>
      </c>
      <c r="AL14" s="8"/>
      <c r="AM14" s="5" t="str">
        <f t="shared" si="3"/>
        <v/>
      </c>
      <c r="AN14" s="7" t="str">
        <f t="shared" si="4"/>
        <v/>
      </c>
      <c r="AO14" s="8"/>
      <c r="AP14" s="9" t="str">
        <f t="shared" si="5"/>
        <v/>
      </c>
    </row>
    <row r="15" spans="1:43" x14ac:dyDescent="0.25">
      <c r="A15" s="10" t="s">
        <v>63</v>
      </c>
      <c r="B15" s="10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5">
        <f t="shared" si="0"/>
        <v>0</v>
      </c>
      <c r="AJ15" s="5">
        <f t="shared" si="1"/>
        <v>0</v>
      </c>
      <c r="AK15" s="5">
        <f t="shared" si="2"/>
        <v>0</v>
      </c>
      <c r="AL15" s="8"/>
      <c r="AM15" s="5" t="str">
        <f t="shared" si="3"/>
        <v/>
      </c>
      <c r="AN15" s="7" t="str">
        <f t="shared" si="4"/>
        <v/>
      </c>
      <c r="AO15" s="8"/>
      <c r="AP15" s="9" t="str">
        <f t="shared" si="5"/>
        <v/>
      </c>
    </row>
    <row r="16" spans="1:43" x14ac:dyDescent="0.25">
      <c r="A16" s="10" t="s">
        <v>64</v>
      </c>
      <c r="B16" s="10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5">
        <f t="shared" si="0"/>
        <v>0</v>
      </c>
      <c r="AJ16" s="5">
        <f t="shared" si="1"/>
        <v>0</v>
      </c>
      <c r="AK16" s="5">
        <f t="shared" si="2"/>
        <v>0</v>
      </c>
      <c r="AL16" s="8"/>
      <c r="AM16" s="5" t="str">
        <f t="shared" si="3"/>
        <v/>
      </c>
      <c r="AN16" s="7" t="str">
        <f t="shared" si="4"/>
        <v/>
      </c>
      <c r="AO16" s="8"/>
      <c r="AP16" s="9" t="str">
        <f t="shared" si="5"/>
        <v/>
      </c>
    </row>
    <row r="17" spans="1:42" x14ac:dyDescent="0.25">
      <c r="A17" s="10" t="s">
        <v>65</v>
      </c>
      <c r="B17" s="10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5">
        <f t="shared" si="0"/>
        <v>0</v>
      </c>
      <c r="AJ17" s="5">
        <f t="shared" si="1"/>
        <v>0</v>
      </c>
      <c r="AK17" s="5">
        <f t="shared" si="2"/>
        <v>0</v>
      </c>
      <c r="AL17" s="8"/>
      <c r="AM17" s="5" t="str">
        <f t="shared" si="3"/>
        <v/>
      </c>
      <c r="AN17" s="7" t="str">
        <f t="shared" si="4"/>
        <v/>
      </c>
      <c r="AO17" s="8"/>
      <c r="AP17" s="9" t="str">
        <f t="shared" si="5"/>
        <v/>
      </c>
    </row>
    <row r="18" spans="1:42" x14ac:dyDescent="0.25">
      <c r="A18" s="10" t="s">
        <v>66</v>
      </c>
      <c r="B18" s="10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5">
        <f t="shared" si="0"/>
        <v>0</v>
      </c>
      <c r="AJ18" s="5">
        <f t="shared" si="1"/>
        <v>0</v>
      </c>
      <c r="AK18" s="5">
        <f t="shared" si="2"/>
        <v>0</v>
      </c>
      <c r="AL18" s="8"/>
      <c r="AM18" s="5" t="str">
        <f t="shared" si="3"/>
        <v/>
      </c>
      <c r="AN18" s="7" t="str">
        <f t="shared" si="4"/>
        <v/>
      </c>
      <c r="AO18" s="8"/>
      <c r="AP18" s="9" t="str">
        <f t="shared" si="5"/>
        <v/>
      </c>
    </row>
    <row r="19" spans="1:42" x14ac:dyDescent="0.25">
      <c r="A19" s="10" t="s">
        <v>67</v>
      </c>
      <c r="B19" s="10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5">
        <f t="shared" si="0"/>
        <v>0</v>
      </c>
      <c r="AJ19" s="5">
        <f t="shared" si="1"/>
        <v>0</v>
      </c>
      <c r="AK19" s="5">
        <f t="shared" si="2"/>
        <v>0</v>
      </c>
      <c r="AL19" s="8"/>
      <c r="AM19" s="5" t="str">
        <f t="shared" si="3"/>
        <v/>
      </c>
      <c r="AN19" s="7" t="str">
        <f t="shared" si="4"/>
        <v/>
      </c>
      <c r="AO19" s="8"/>
      <c r="AP19" s="9" t="str">
        <f t="shared" si="5"/>
        <v/>
      </c>
    </row>
    <row r="20" spans="1:42" x14ac:dyDescent="0.25">
      <c r="A20" s="10" t="s">
        <v>68</v>
      </c>
      <c r="B20" s="10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5">
        <f t="shared" si="0"/>
        <v>0</v>
      </c>
      <c r="AJ20" s="5">
        <f t="shared" si="1"/>
        <v>0</v>
      </c>
      <c r="AK20" s="5">
        <f t="shared" si="2"/>
        <v>0</v>
      </c>
      <c r="AL20" s="8"/>
      <c r="AM20" s="5" t="str">
        <f t="shared" si="3"/>
        <v/>
      </c>
      <c r="AN20" s="7" t="str">
        <f t="shared" si="4"/>
        <v/>
      </c>
      <c r="AO20" s="8"/>
      <c r="AP20" s="9" t="str">
        <f t="shared" si="5"/>
        <v/>
      </c>
    </row>
    <row r="21" spans="1:42" x14ac:dyDescent="0.25">
      <c r="A21" s="10" t="s">
        <v>69</v>
      </c>
      <c r="B21" s="10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5">
        <f t="shared" si="0"/>
        <v>0</v>
      </c>
      <c r="AJ21" s="5">
        <f t="shared" si="1"/>
        <v>0</v>
      </c>
      <c r="AK21" s="5">
        <f t="shared" si="2"/>
        <v>0</v>
      </c>
      <c r="AL21" s="8"/>
      <c r="AM21" s="5" t="str">
        <f t="shared" si="3"/>
        <v/>
      </c>
      <c r="AN21" s="7" t="str">
        <f t="shared" si="4"/>
        <v/>
      </c>
      <c r="AO21" s="8"/>
      <c r="AP21" s="9" t="str">
        <f t="shared" si="5"/>
        <v/>
      </c>
    </row>
    <row r="22" spans="1:42" x14ac:dyDescent="0.25">
      <c r="A22" s="10" t="s">
        <v>70</v>
      </c>
      <c r="B22" s="10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5">
        <f t="shared" si="0"/>
        <v>0</v>
      </c>
      <c r="AJ22" s="5">
        <f t="shared" si="1"/>
        <v>0</v>
      </c>
      <c r="AK22" s="5">
        <f t="shared" si="2"/>
        <v>0</v>
      </c>
      <c r="AL22" s="8"/>
      <c r="AM22" s="5" t="str">
        <f t="shared" si="3"/>
        <v/>
      </c>
      <c r="AN22" s="7" t="str">
        <f t="shared" si="4"/>
        <v/>
      </c>
      <c r="AO22" s="8"/>
      <c r="AP22" s="9" t="str">
        <f t="shared" si="5"/>
        <v/>
      </c>
    </row>
    <row r="23" spans="1:42" x14ac:dyDescent="0.25">
      <c r="A23" s="10" t="s">
        <v>71</v>
      </c>
      <c r="B23" s="10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5">
        <f t="shared" si="0"/>
        <v>0</v>
      </c>
      <c r="AJ23" s="5">
        <f t="shared" si="1"/>
        <v>0</v>
      </c>
      <c r="AK23" s="5">
        <f t="shared" si="2"/>
        <v>0</v>
      </c>
      <c r="AL23" s="8"/>
      <c r="AM23" s="5" t="str">
        <f t="shared" si="3"/>
        <v/>
      </c>
      <c r="AN23" s="7" t="str">
        <f t="shared" si="4"/>
        <v/>
      </c>
      <c r="AO23" s="8"/>
      <c r="AP23" s="9" t="str">
        <f t="shared" si="5"/>
        <v/>
      </c>
    </row>
  </sheetData>
  <dataValidations count="5">
    <dataValidation type="whole" allowBlank="1" showErrorMessage="1" error="Part B takes 0, 1 or 2" sqref="Q3:AC23" xr:uid="{00000000-0002-0000-0000-000000000000}">
      <formula1>0</formula1>
      <formula2>2</formula2>
    </dataValidation>
    <dataValidation type="list" allowBlank="1" showErrorMessage="1" error="Part C takes a, b, c or d (lowercase)" sqref="AD3:AH23" xr:uid="{00000000-0002-0000-0000-000002000000}">
      <formula1>"a,b,c,d"</formula1>
    </dataValidation>
    <dataValidation type="list" allowBlank="1" showErrorMessage="1" error="Teacher level is 1, 2 or 3" sqref="AL3:AL23" xr:uid="{00000000-0002-0000-0000-000004000000}">
      <formula1>"1,2,3"</formula1>
    </dataValidation>
    <dataValidation type="list" allowBlank="1" showErrorMessage="1" error="Override is 1, 2 or 3" sqref="AO3:AO23" xr:uid="{00000000-0002-0000-0000-000006000000}">
      <formula1>"1,2,3"</formula1>
    </dataValidation>
    <dataValidation type="whole" allowBlank="1" showErrorMessage="1" error="Part A takes 1–7 only" sqref="C3:P23" xr:uid="{00000000-0002-0000-0000-000008000000}">
      <formula1>1</formula1>
      <formula2>7</formula2>
    </dataValidation>
  </dataValidation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2"/>
  <sheetViews>
    <sheetView workbookViewId="0"/>
  </sheetViews>
  <sheetFormatPr defaultRowHeight="15" x14ac:dyDescent="0.25"/>
  <cols>
    <col min="1" max="1" width="130" customWidth="1"/>
  </cols>
  <sheetData>
    <row r="1" spans="1:1" s="11" customFormat="1" ht="15.75" x14ac:dyDescent="0.25">
      <c r="A1" s="12" t="s">
        <v>72</v>
      </c>
    </row>
    <row r="2" spans="1:1" x14ac:dyDescent="0.25">
      <c r="A2" s="13" t="s">
        <v>45</v>
      </c>
    </row>
    <row r="3" spans="1:1" ht="38.25" x14ac:dyDescent="0.25">
      <c r="A3" s="13" t="s">
        <v>73</v>
      </c>
    </row>
    <row r="4" spans="1:1" x14ac:dyDescent="0.25">
      <c r="A4" s="13" t="s">
        <v>74</v>
      </c>
    </row>
    <row r="5" spans="1:1" x14ac:dyDescent="0.25">
      <c r="A5" s="13" t="s">
        <v>45</v>
      </c>
    </row>
    <row r="6" spans="1:1" ht="25.5" x14ac:dyDescent="0.25">
      <c r="A6" s="13" t="s">
        <v>75</v>
      </c>
    </row>
    <row r="7" spans="1:1" x14ac:dyDescent="0.25">
      <c r="A7" s="13" t="s">
        <v>45</v>
      </c>
    </row>
    <row r="8" spans="1:1" x14ac:dyDescent="0.25">
      <c r="A8" s="13" t="s">
        <v>76</v>
      </c>
    </row>
    <row r="9" spans="1:1" x14ac:dyDescent="0.25">
      <c r="A9" s="13" t="s">
        <v>77</v>
      </c>
    </row>
    <row r="10" spans="1:1" x14ac:dyDescent="0.25">
      <c r="A10" s="13" t="s">
        <v>78</v>
      </c>
    </row>
    <row r="11" spans="1:1" x14ac:dyDescent="0.25">
      <c r="A11" s="13" t="s">
        <v>79</v>
      </c>
    </row>
    <row r="12" spans="1:1" x14ac:dyDescent="0.25">
      <c r="A12" s="13" t="s">
        <v>80</v>
      </c>
    </row>
    <row r="13" spans="1:1" x14ac:dyDescent="0.25">
      <c r="A13" s="13" t="s">
        <v>81</v>
      </c>
    </row>
    <row r="14" spans="1:1" x14ac:dyDescent="0.25">
      <c r="A14" s="13" t="s">
        <v>45</v>
      </c>
    </row>
    <row r="15" spans="1:1" ht="25.5" x14ac:dyDescent="0.25">
      <c r="A15" s="13" t="s">
        <v>82</v>
      </c>
    </row>
    <row r="16" spans="1:1" x14ac:dyDescent="0.25">
      <c r="A16" s="13" t="s">
        <v>83</v>
      </c>
    </row>
    <row r="17" spans="1:1" x14ac:dyDescent="0.25">
      <c r="A17" s="13" t="s">
        <v>45</v>
      </c>
    </row>
    <row r="18" spans="1:1" x14ac:dyDescent="0.25">
      <c r="A18" s="13" t="s">
        <v>84</v>
      </c>
    </row>
    <row r="19" spans="1:1" x14ac:dyDescent="0.25">
      <c r="A19" s="13" t="s">
        <v>85</v>
      </c>
    </row>
    <row r="20" spans="1:1" x14ac:dyDescent="0.25">
      <c r="A20" s="13" t="s">
        <v>45</v>
      </c>
    </row>
    <row r="21" spans="1:1" ht="25.5" x14ac:dyDescent="0.25">
      <c r="A21" s="13" t="s">
        <v>86</v>
      </c>
    </row>
    <row r="22" spans="1:1" x14ac:dyDescent="0.25">
      <c r="A22" s="13" t="s">
        <v>87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Results</vt:lpstr>
      <vt:lpstr>Read Me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2026-08-16T21:06:53Z</dcterms:created>
  <dcterms:modified xsi:type="dcterms:W3CDTF">2026-08-16T21:38:40Z</dcterms:modified>
  <cp:category/>
</cp:coreProperties>
</file>